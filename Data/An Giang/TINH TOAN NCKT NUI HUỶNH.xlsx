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713" activeTab="6"/>
  </bookViews>
  <sheets>
    <sheet name="CS" sheetId="1" r:id="rId1"/>
    <sheet name="TB" sheetId="2" r:id="rId2"/>
    <sheet name="XDCB" sheetId="18" r:id="rId3"/>
    <sheet name="KHAC" sheetId="5" r:id="rId4"/>
    <sheet name="QLDA" sheetId="3" r:id="rId5"/>
    <sheet name="dự phòng" sheetId="6" r:id="rId6"/>
    <sheet name="tổng mức" sheetId="7" r:id="rId7"/>
    <sheet name="thuế" sheetId="12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2" l="1"/>
  <c r="E151" i="2"/>
  <c r="F151" i="2" s="1"/>
  <c r="D153" i="2" s="1"/>
  <c r="C147" i="2"/>
  <c r="C146" i="2"/>
  <c r="C145" i="2"/>
  <c r="C133" i="2"/>
  <c r="C144" i="2"/>
  <c r="C113" i="2"/>
  <c r="C116" i="2" s="1"/>
  <c r="C117" i="2" s="1"/>
  <c r="C107" i="2"/>
  <c r="C100" i="2"/>
  <c r="C102" i="2" s="1"/>
  <c r="C92" i="2"/>
  <c r="C93" i="2" s="1"/>
  <c r="C84" i="2"/>
  <c r="C82" i="2"/>
  <c r="C64" i="2"/>
  <c r="C70" i="2" s="1"/>
  <c r="C59" i="2"/>
  <c r="C60" i="2" s="1"/>
  <c r="C53" i="2"/>
  <c r="C72" i="2" s="1"/>
  <c r="C90" i="2" s="1"/>
  <c r="H24" i="12"/>
  <c r="I18" i="12"/>
  <c r="H18" i="12"/>
  <c r="I17" i="12"/>
  <c r="H17" i="12"/>
  <c r="H11" i="12"/>
  <c r="I5" i="12"/>
  <c r="H5" i="12"/>
  <c r="I4" i="12"/>
  <c r="H4" i="12"/>
  <c r="E20" i="3"/>
  <c r="L32" i="12"/>
  <c r="L30" i="12"/>
  <c r="L29" i="12"/>
  <c r="J30" i="12"/>
  <c r="J29" i="12"/>
  <c r="F14" i="7"/>
  <c r="D9" i="7" s="1"/>
  <c r="F9" i="7" s="1"/>
  <c r="D6" i="7"/>
  <c r="D3" i="7"/>
  <c r="C6" i="6"/>
  <c r="C3" i="6"/>
  <c r="F14" i="3"/>
  <c r="G14" i="3" s="1"/>
  <c r="G20" i="3"/>
  <c r="G21" i="3"/>
  <c r="G16" i="3"/>
  <c r="F17" i="3"/>
  <c r="E17" i="3"/>
  <c r="E4" i="5"/>
  <c r="E3" i="5"/>
  <c r="E4" i="3"/>
  <c r="F4" i="3" s="1"/>
  <c r="E5" i="3"/>
  <c r="F5" i="3" s="1"/>
  <c r="E6" i="3"/>
  <c r="F6" i="3" s="1"/>
  <c r="E3" i="3"/>
  <c r="F3" i="3" s="1"/>
  <c r="D7" i="3"/>
  <c r="E7" i="18"/>
  <c r="E47" i="18"/>
  <c r="F45" i="18"/>
  <c r="G45" i="18" s="1"/>
  <c r="F41" i="18"/>
  <c r="G39" i="18"/>
  <c r="H39" i="18" s="1"/>
  <c r="F39" i="18"/>
  <c r="E42" i="18" s="1"/>
  <c r="F42" i="18" s="1"/>
  <c r="H36" i="18"/>
  <c r="I36" i="18" s="1"/>
  <c r="B36" i="18"/>
  <c r="E35" i="18"/>
  <c r="B34" i="18" s="1"/>
  <c r="E25" i="18"/>
  <c r="G23" i="18"/>
  <c r="F23" i="18"/>
  <c r="E17" i="18"/>
  <c r="F17" i="18" s="1"/>
  <c r="G17" i="18" s="1"/>
  <c r="E16" i="18"/>
  <c r="F16" i="18" s="1"/>
  <c r="G16" i="18" s="1"/>
  <c r="E15" i="18"/>
  <c r="E14" i="18"/>
  <c r="E13" i="18"/>
  <c r="F13" i="18" s="1"/>
  <c r="G13" i="18" s="1"/>
  <c r="E12" i="18"/>
  <c r="F12" i="18" s="1"/>
  <c r="G12" i="18" s="1"/>
  <c r="E11" i="18"/>
  <c r="E10" i="18"/>
  <c r="E8" i="18"/>
  <c r="F8" i="18" s="1"/>
  <c r="G8" i="18" s="1"/>
  <c r="D6" i="18"/>
  <c r="E6" i="18" s="1"/>
  <c r="E5" i="18"/>
  <c r="F5" i="18" s="1"/>
  <c r="D5" i="18"/>
  <c r="D5" i="2"/>
  <c r="D15" i="2"/>
  <c r="F15" i="2" s="1"/>
  <c r="G15" i="2" s="1"/>
  <c r="H15" i="2" s="1"/>
  <c r="D14" i="2"/>
  <c r="D13" i="2"/>
  <c r="D12" i="2"/>
  <c r="F12" i="2" s="1"/>
  <c r="G12" i="2" s="1"/>
  <c r="H12" i="2" s="1"/>
  <c r="D11" i="2"/>
  <c r="D10" i="2"/>
  <c r="D9" i="2"/>
  <c r="D8" i="2"/>
  <c r="F18" i="2"/>
  <c r="G18" i="2" s="1"/>
  <c r="F19" i="2"/>
  <c r="G19" i="2" s="1"/>
  <c r="H19" i="2" s="1"/>
  <c r="F20" i="2"/>
  <c r="G20" i="2" s="1"/>
  <c r="H20" i="2" s="1"/>
  <c r="F21" i="2"/>
  <c r="G21" i="2" s="1"/>
  <c r="H21" i="2" s="1"/>
  <c r="F22" i="2"/>
  <c r="G22" i="2" s="1"/>
  <c r="F23" i="2"/>
  <c r="G23" i="2" s="1"/>
  <c r="F24" i="2"/>
  <c r="G24" i="2" s="1"/>
  <c r="H24" i="2" s="1"/>
  <c r="F25" i="2"/>
  <c r="G25" i="2" s="1"/>
  <c r="F26" i="2"/>
  <c r="G26" i="2" s="1"/>
  <c r="F27" i="2"/>
  <c r="G27" i="2" s="1"/>
  <c r="F28" i="2"/>
  <c r="G28" i="2" s="1"/>
  <c r="H28" i="2" s="1"/>
  <c r="F29" i="2"/>
  <c r="G29" i="2" s="1"/>
  <c r="H29" i="2" s="1"/>
  <c r="F30" i="2"/>
  <c r="G30" i="2" s="1"/>
  <c r="F31" i="2"/>
  <c r="G31" i="2" s="1"/>
  <c r="H31" i="2" s="1"/>
  <c r="F17" i="2"/>
  <c r="F6" i="2"/>
  <c r="G6" i="2" s="1"/>
  <c r="H6" i="2" s="1"/>
  <c r="F7" i="2"/>
  <c r="G7" i="2" s="1"/>
  <c r="F8" i="2"/>
  <c r="G8" i="2" s="1"/>
  <c r="H8" i="2" s="1"/>
  <c r="F9" i="2"/>
  <c r="G9" i="2" s="1"/>
  <c r="F10" i="2"/>
  <c r="G10" i="2" s="1"/>
  <c r="H10" i="2" s="1"/>
  <c r="F11" i="2"/>
  <c r="G11" i="2" s="1"/>
  <c r="F13" i="2"/>
  <c r="G13" i="2" s="1"/>
  <c r="F14" i="2"/>
  <c r="G14" i="2" s="1"/>
  <c r="H14" i="2" s="1"/>
  <c r="F5" i="2"/>
  <c r="D7" i="1"/>
  <c r="F19" i="1"/>
  <c r="E19" i="1"/>
  <c r="C6" i="1"/>
  <c r="C2" i="1"/>
  <c r="C105" i="2" l="1"/>
  <c r="C108" i="2"/>
  <c r="C122" i="2" s="1"/>
  <c r="L28" i="12"/>
  <c r="G17" i="3"/>
  <c r="E7" i="3"/>
  <c r="F7" i="3" s="1"/>
  <c r="E19" i="18"/>
  <c r="E23" i="18" s="1"/>
  <c r="E39" i="18"/>
  <c r="G41" i="18" s="1"/>
  <c r="F25" i="18"/>
  <c r="G25" i="18" s="1"/>
  <c r="E4" i="18"/>
  <c r="E18" i="18" s="1"/>
  <c r="F6" i="18"/>
  <c r="G6" i="18" s="1"/>
  <c r="E9" i="18"/>
  <c r="G5" i="18"/>
  <c r="F10" i="18"/>
  <c r="G10" i="18" s="1"/>
  <c r="F14" i="18"/>
  <c r="G14" i="18" s="1"/>
  <c r="H34" i="18"/>
  <c r="I34" i="18" s="1"/>
  <c r="F7" i="18"/>
  <c r="G7" i="18" s="1"/>
  <c r="F11" i="18"/>
  <c r="G11" i="18" s="1"/>
  <c r="F15" i="18"/>
  <c r="G15" i="18" s="1"/>
  <c r="H25" i="2"/>
  <c r="F16" i="2"/>
  <c r="F4" i="2"/>
  <c r="G5" i="2"/>
  <c r="G4" i="2" s="1"/>
  <c r="H30" i="2"/>
  <c r="H27" i="2"/>
  <c r="H23" i="2"/>
  <c r="H26" i="2"/>
  <c r="H22" i="2"/>
  <c r="H18" i="2"/>
  <c r="G17" i="2"/>
  <c r="H11" i="2"/>
  <c r="H7" i="2"/>
  <c r="H13" i="2"/>
  <c r="H9" i="2"/>
  <c r="G4" i="18" l="1"/>
  <c r="E27" i="18"/>
  <c r="B38" i="18"/>
  <c r="B39" i="18" s="1"/>
  <c r="F4" i="18"/>
  <c r="G9" i="18"/>
  <c r="F9" i="18"/>
  <c r="F32" i="2"/>
  <c r="E12" i="3" s="1"/>
  <c r="C5" i="6" s="1"/>
  <c r="D5" i="7" s="1"/>
  <c r="H5" i="2"/>
  <c r="H4" i="2" s="1"/>
  <c r="H17" i="2"/>
  <c r="H16" i="2" s="1"/>
  <c r="G16" i="2"/>
  <c r="G32" i="2" s="1"/>
  <c r="E18" i="3" l="1"/>
  <c r="E19" i="3"/>
  <c r="C4" i="6"/>
  <c r="F12" i="3"/>
  <c r="F18" i="18"/>
  <c r="F27" i="18" s="1"/>
  <c r="G18" i="18"/>
  <c r="G27" i="18"/>
  <c r="H32" i="2"/>
  <c r="I21" i="12"/>
  <c r="H21" i="12"/>
  <c r="D4" i="7" l="1"/>
  <c r="F18" i="3"/>
  <c r="G18" i="3" s="1"/>
  <c r="E13" i="3"/>
  <c r="F19" i="3"/>
  <c r="G19" i="3" s="1"/>
  <c r="G12" i="3"/>
  <c r="G35" i="18"/>
  <c r="C7" i="6" l="1"/>
  <c r="E22" i="3"/>
  <c r="F13" i="3"/>
  <c r="F22" i="3" s="1"/>
  <c r="H8" i="12"/>
  <c r="I7" i="12"/>
  <c r="I8" i="12" s="1"/>
  <c r="G13" i="3" l="1"/>
  <c r="G22" i="3" s="1"/>
  <c r="D7" i="7"/>
  <c r="C9" i="6"/>
  <c r="C11" i="6" s="1"/>
  <c r="D8" i="7" s="1"/>
  <c r="H9" i="12"/>
  <c r="H22" i="12"/>
  <c r="H12" i="12" l="1"/>
  <c r="H25" i="12"/>
  <c r="E3" i="7" l="1"/>
  <c r="F3" i="7" l="1"/>
  <c r="G5" i="5"/>
  <c r="F3" i="5" l="1"/>
  <c r="G3" i="5" s="1"/>
  <c r="E6" i="7"/>
  <c r="F6" i="7" s="1"/>
  <c r="F4" i="5" l="1"/>
  <c r="E4" i="7"/>
  <c r="E6" i="5" l="1"/>
  <c r="E7" i="7" s="1"/>
  <c r="F7" i="7" s="1"/>
  <c r="G4" i="5"/>
  <c r="G6" i="5" s="1"/>
  <c r="F6" i="5"/>
  <c r="F4" i="7"/>
  <c r="E5" i="7" l="1"/>
  <c r="F5" i="7" l="1"/>
  <c r="E8" i="7" l="1"/>
  <c r="D10" i="7"/>
  <c r="F8" i="7" l="1"/>
  <c r="E10" i="7"/>
  <c r="F10" i="7" s="1"/>
</calcChain>
</file>

<file path=xl/sharedStrings.xml><?xml version="1.0" encoding="utf-8"?>
<sst xmlns="http://schemas.openxmlformats.org/spreadsheetml/2006/main" count="374" uniqueCount="247">
  <si>
    <t>Tổng</t>
  </si>
  <si>
    <t>STT</t>
  </si>
  <si>
    <t>Thiết bị</t>
  </si>
  <si>
    <t>ĐVT</t>
  </si>
  <si>
    <t>Đơn giá</t>
  </si>
  <si>
    <t>Giá trị trước thuế</t>
  </si>
  <si>
    <t>Thuế VAT</t>
  </si>
  <si>
    <t>Giá trị sau thuế</t>
  </si>
  <si>
    <t>Điện thoại di động</t>
  </si>
  <si>
    <t>cái</t>
  </si>
  <si>
    <t>Điện thoại bàn</t>
  </si>
  <si>
    <t>Bàn ghế nhà ăn</t>
  </si>
  <si>
    <t>bộ</t>
  </si>
  <si>
    <t>Bàn ghế làm việc</t>
  </si>
  <si>
    <t>Quạt điện đứng</t>
  </si>
  <si>
    <t>Máy tính</t>
  </si>
  <si>
    <t>Máy fax</t>
  </si>
  <si>
    <t>Máy in</t>
  </si>
  <si>
    <t>Máy lạnh</t>
  </si>
  <si>
    <t>Máy tính tay Casio</t>
  </si>
  <si>
    <t>Tủ đựng hồ sơ</t>
  </si>
  <si>
    <t>Bình chữa cháy</t>
  </si>
  <si>
    <t>Thùng chứa rác nhỏ</t>
  </si>
  <si>
    <t>Thùng chứa rác lớn</t>
  </si>
  <si>
    <t>Các thiết bị khác</t>
  </si>
  <si>
    <t>Tổng cộng</t>
  </si>
  <si>
    <t>Giá trị</t>
  </si>
  <si>
    <t>Ghi chú</t>
  </si>
  <si>
    <t>Mục chi phí</t>
  </si>
  <si>
    <t>Nội dung</t>
  </si>
  <si>
    <t>ĐMTL</t>
  </si>
  <si>
    <t>Cách tính</t>
  </si>
  <si>
    <t>Trước thuế</t>
  </si>
  <si>
    <t>VAT</t>
  </si>
  <si>
    <t>Sau thuế</t>
  </si>
  <si>
    <t>Chi phí xây dựng nhà tạm tại hiện trường để ở và điều hành thi công</t>
  </si>
  <si>
    <t>Chi phí một số công tác không xác định được khối lượng từ thiết kế</t>
  </si>
  <si>
    <t>Vốn lưu động ban đầu cho sản xuất</t>
  </si>
  <si>
    <t>Tổng cộng:</t>
  </si>
  <si>
    <t>Hạng mục</t>
  </si>
  <si>
    <r>
      <t>Chi phí xây dựng (G</t>
    </r>
    <r>
      <rPr>
        <vertAlign val="subscript"/>
        <sz val="14"/>
        <color theme="1"/>
        <rFont val="Times New Roman"/>
        <family val="1"/>
      </rPr>
      <t>XD</t>
    </r>
    <r>
      <rPr>
        <sz val="14"/>
        <color theme="1"/>
        <rFont val="Times New Roman"/>
        <family val="1"/>
      </rPr>
      <t>):</t>
    </r>
  </si>
  <si>
    <r>
      <t>Chi phí thiết bị (G</t>
    </r>
    <r>
      <rPr>
        <vertAlign val="subscript"/>
        <sz val="14"/>
        <color theme="1"/>
        <rFont val="Times New Roman"/>
        <family val="1"/>
      </rPr>
      <t>TB</t>
    </r>
    <r>
      <rPr>
        <sz val="14"/>
        <color theme="1"/>
        <rFont val="Times New Roman"/>
        <family val="1"/>
      </rPr>
      <t>):</t>
    </r>
  </si>
  <si>
    <r>
      <t>Chi phí quản lý dự án (G</t>
    </r>
    <r>
      <rPr>
        <vertAlign val="subscript"/>
        <sz val="14"/>
        <color theme="1"/>
        <rFont val="Times New Roman"/>
        <family val="1"/>
      </rPr>
      <t>QLDA</t>
    </r>
    <r>
      <rPr>
        <sz val="14"/>
        <color theme="1"/>
        <rFont val="Times New Roman"/>
        <family val="1"/>
      </rPr>
      <t>):</t>
    </r>
  </si>
  <si>
    <r>
      <t>Chi phí tư vấn đầu tư xây dựng (G</t>
    </r>
    <r>
      <rPr>
        <vertAlign val="subscript"/>
        <sz val="14"/>
        <color theme="1"/>
        <rFont val="Times New Roman"/>
        <family val="1"/>
      </rPr>
      <t>TV</t>
    </r>
    <r>
      <rPr>
        <sz val="14"/>
        <color theme="1"/>
        <rFont val="Times New Roman"/>
        <family val="1"/>
      </rPr>
      <t>):</t>
    </r>
  </si>
  <si>
    <r>
      <t>Chi phí khác (G</t>
    </r>
    <r>
      <rPr>
        <vertAlign val="subscript"/>
        <sz val="14"/>
        <color theme="1"/>
        <rFont val="Times New Roman"/>
        <family val="1"/>
      </rPr>
      <t>K</t>
    </r>
    <r>
      <rPr>
        <sz val="14"/>
        <color theme="1"/>
        <rFont val="Times New Roman"/>
        <family val="1"/>
      </rPr>
      <t>):</t>
    </r>
  </si>
  <si>
    <r>
      <t>Hệ số phát sinh K</t>
    </r>
    <r>
      <rPr>
        <vertAlign val="subscript"/>
        <sz val="14"/>
        <color rgb="FF000000"/>
        <rFont val="Times New Roman"/>
        <family val="1"/>
      </rPr>
      <t xml:space="preserve">ps </t>
    </r>
    <r>
      <rPr>
        <sz val="14"/>
        <color rgb="FF000000"/>
        <rFont val="Times New Roman"/>
        <family val="1"/>
      </rPr>
      <t>(%)</t>
    </r>
  </si>
  <si>
    <r>
      <t>Dự phòng cho khối lượng phát sinh (G</t>
    </r>
    <r>
      <rPr>
        <vertAlign val="subscript"/>
        <sz val="14"/>
        <color rgb="FF000000"/>
        <rFont val="Times New Roman"/>
        <family val="1"/>
      </rPr>
      <t>DP1</t>
    </r>
    <r>
      <rPr>
        <sz val="14"/>
        <color rgb="FF000000"/>
        <rFont val="Times New Roman"/>
        <family val="1"/>
      </rPr>
      <t>)</t>
    </r>
  </si>
  <si>
    <r>
      <t>Dự phòng cho yếu tố trượt giá (G</t>
    </r>
    <r>
      <rPr>
        <vertAlign val="subscript"/>
        <sz val="14"/>
        <color rgb="FF000000"/>
        <rFont val="Times New Roman"/>
        <family val="1"/>
      </rPr>
      <t>DP2</t>
    </r>
    <r>
      <rPr>
        <sz val="14"/>
        <color rgb="FF000000"/>
        <rFont val="Times New Roman"/>
        <family val="1"/>
      </rPr>
      <t>)</t>
    </r>
  </si>
  <si>
    <r>
      <t>Tổng chi phí dự phòng G</t>
    </r>
    <r>
      <rPr>
        <vertAlign val="subscript"/>
        <sz val="14"/>
        <color rgb="FF000000"/>
        <rFont val="Times New Roman"/>
        <family val="1"/>
      </rPr>
      <t>DP</t>
    </r>
  </si>
  <si>
    <t>NỘI DUNG CHI PHÍ</t>
  </si>
  <si>
    <t>GIÁ TRỊ TRƯỚC THUẾ</t>
  </si>
  <si>
    <t>THUẾ GTGT</t>
  </si>
  <si>
    <t>GIÁ TRỊ SAU THUẾ</t>
  </si>
  <si>
    <t>KÝ HIỆU</t>
  </si>
  <si>
    <t>Chi phí xây dựng</t>
  </si>
  <si>
    <r>
      <t xml:space="preserve"> G</t>
    </r>
    <r>
      <rPr>
        <vertAlign val="subscript"/>
        <sz val="10"/>
        <color theme="1"/>
        <rFont val="Times New Roman"/>
        <family val="1"/>
      </rPr>
      <t>XD</t>
    </r>
  </si>
  <si>
    <t>Chi phí thiết bị</t>
  </si>
  <si>
    <r>
      <t xml:space="preserve"> G</t>
    </r>
    <r>
      <rPr>
        <vertAlign val="subscript"/>
        <sz val="10"/>
        <color theme="1"/>
        <rFont val="Times New Roman"/>
        <family val="1"/>
      </rPr>
      <t>TB</t>
    </r>
  </si>
  <si>
    <t>Chi phí quản lý dự án</t>
  </si>
  <si>
    <r>
      <t xml:space="preserve"> G</t>
    </r>
    <r>
      <rPr>
        <vertAlign val="subscript"/>
        <sz val="10"/>
        <color theme="1"/>
        <rFont val="Times New Roman"/>
        <family val="1"/>
      </rPr>
      <t>QLDA</t>
    </r>
  </si>
  <si>
    <t>Chi phí tư vấn đầu tư xây dựng</t>
  </si>
  <si>
    <r>
      <t>G</t>
    </r>
    <r>
      <rPr>
        <vertAlign val="subscript"/>
        <sz val="10"/>
        <color theme="1"/>
        <rFont val="Times New Roman"/>
        <family val="1"/>
      </rPr>
      <t>TV</t>
    </r>
  </si>
  <si>
    <t>Chi phí khác</t>
  </si>
  <si>
    <r>
      <t>G</t>
    </r>
    <r>
      <rPr>
        <vertAlign val="subscript"/>
        <sz val="10"/>
        <color theme="1"/>
        <rFont val="Times New Roman"/>
        <family val="1"/>
      </rPr>
      <t>K</t>
    </r>
  </si>
  <si>
    <r>
      <t>Chi phí dự phòng (G</t>
    </r>
    <r>
      <rPr>
        <vertAlign val="subscript"/>
        <sz val="10"/>
        <color theme="1"/>
        <rFont val="Times New Roman"/>
        <family val="1"/>
      </rPr>
      <t xml:space="preserve">DP1 </t>
    </r>
    <r>
      <rPr>
        <sz val="10"/>
        <color theme="1"/>
        <rFont val="Times New Roman"/>
        <family val="1"/>
      </rPr>
      <t>+ G</t>
    </r>
    <r>
      <rPr>
        <vertAlign val="subscript"/>
        <sz val="10"/>
        <color theme="1"/>
        <rFont val="Times New Roman"/>
        <family val="1"/>
      </rPr>
      <t>DP2</t>
    </r>
    <r>
      <rPr>
        <sz val="10"/>
        <color theme="1"/>
        <rFont val="Times New Roman"/>
        <family val="1"/>
      </rPr>
      <t>)</t>
    </r>
  </si>
  <si>
    <r>
      <t>G</t>
    </r>
    <r>
      <rPr>
        <vertAlign val="subscript"/>
        <sz val="10"/>
        <color theme="1"/>
        <rFont val="Times New Roman"/>
        <family val="1"/>
      </rPr>
      <t>DP</t>
    </r>
  </si>
  <si>
    <t>Chi phí giải phóng mặt bằng</t>
  </si>
  <si>
    <r>
      <t>G</t>
    </r>
    <r>
      <rPr>
        <vertAlign val="subscript"/>
        <sz val="10"/>
        <color theme="1"/>
        <rFont val="Times New Roman"/>
        <family val="1"/>
      </rPr>
      <t>GPMB</t>
    </r>
  </si>
  <si>
    <r>
      <t>G</t>
    </r>
    <r>
      <rPr>
        <vertAlign val="subscript"/>
        <sz val="10"/>
        <color theme="1"/>
        <rFont val="Times New Roman"/>
        <family val="1"/>
      </rPr>
      <t>TMĐT</t>
    </r>
  </si>
  <si>
    <t>Số lượng</t>
  </si>
  <si>
    <t>I</t>
  </si>
  <si>
    <t>II</t>
  </si>
  <si>
    <t xml:space="preserve">Thuế suất </t>
  </si>
  <si>
    <t>Tc</t>
  </si>
  <si>
    <t>N</t>
  </si>
  <si>
    <t>T</t>
  </si>
  <si>
    <t>Qx</t>
  </si>
  <si>
    <t>E</t>
  </si>
  <si>
    <t>Năm 5</t>
  </si>
  <si>
    <t>Năm khai thác</t>
  </si>
  <si>
    <t>TT</t>
  </si>
  <si>
    <t>-</t>
  </si>
  <si>
    <t>A</t>
  </si>
  <si>
    <t>B</t>
  </si>
  <si>
    <r>
      <t>ĐMTL*G</t>
    </r>
    <r>
      <rPr>
        <vertAlign val="subscript"/>
        <sz val="12"/>
        <color theme="1"/>
        <rFont val="Times New Roman"/>
        <family val="1"/>
      </rPr>
      <t>XD</t>
    </r>
  </si>
  <si>
    <r>
      <t>ĐMTL*G</t>
    </r>
    <r>
      <rPr>
        <vertAlign val="subscript"/>
        <sz val="12"/>
        <color theme="1"/>
        <rFont val="Times New Roman"/>
        <family val="1"/>
      </rPr>
      <t>TB</t>
    </r>
  </si>
  <si>
    <t>Đơn vị</t>
  </si>
  <si>
    <r>
      <t>Trữ lượng nguyên khối (m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</si>
  <si>
    <r>
      <t>Trữ lượng nguyên khai (m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</si>
  <si>
    <r>
      <t>Đơn giá tính thuế (đồng/m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</si>
  <si>
    <t>Tổng (đồng)</t>
  </si>
  <si>
    <t xml:space="preserve">Tuổi thọ mỏ </t>
  </si>
  <si>
    <t>Năm 1 - 4</t>
  </si>
  <si>
    <t>Công nghệ khai thác (lộ thiên)</t>
  </si>
  <si>
    <t>Phí cấp quyền khai thác khoáng sản</t>
  </si>
  <si>
    <r>
      <t>m</t>
    </r>
    <r>
      <rPr>
        <i/>
        <vertAlign val="superscript"/>
        <sz val="14"/>
        <rFont val="Times New Roman"/>
        <family val="1"/>
      </rPr>
      <t>3</t>
    </r>
  </si>
  <si>
    <t>Trữ lượng địa chất</t>
  </si>
  <si>
    <t>Đất tầng phủ</t>
  </si>
  <si>
    <t>Đá phong hóa</t>
  </si>
  <si>
    <t xml:space="preserve">đá xây dựng </t>
  </si>
  <si>
    <t>Trữ lượng khai thác</t>
  </si>
  <si>
    <t>Khối lượng</t>
  </si>
  <si>
    <t>Vật liệu san lấp</t>
  </si>
  <si>
    <t>Đá xây dựng</t>
  </si>
  <si>
    <t>Năm thứ 1 (XDCB)</t>
  </si>
  <si>
    <r>
      <t>m</t>
    </r>
    <r>
      <rPr>
        <vertAlign val="superscript"/>
        <sz val="13"/>
        <color theme="1"/>
        <rFont val="Times New Roman"/>
        <family val="1"/>
      </rPr>
      <t>3</t>
    </r>
  </si>
  <si>
    <t>Năm thứ 2</t>
  </si>
  <si>
    <t>Năm thứ 3</t>
  </si>
  <si>
    <t>Năm thứ 4</t>
  </si>
  <si>
    <t>Năm thứ 5</t>
  </si>
  <si>
    <r>
      <t>m</t>
    </r>
    <r>
      <rPr>
        <b/>
        <i/>
        <vertAlign val="superscript"/>
        <sz val="13"/>
        <color theme="1"/>
        <rFont val="Times New Roman"/>
        <family val="1"/>
      </rPr>
      <t>3</t>
    </r>
  </si>
  <si>
    <t xml:space="preserve">Giá trị sau thuế </t>
  </si>
  <si>
    <t>THIẾT BỊ KHAI THÁC</t>
  </si>
  <si>
    <t>Trạm</t>
  </si>
  <si>
    <t>Tổ hợp nghiền sàng 350 tấn/h</t>
  </si>
  <si>
    <t xml:space="preserve">Trạm biến áp </t>
  </si>
  <si>
    <t>Máy xúc thủy lực</t>
  </si>
  <si>
    <t>Chiếc</t>
  </si>
  <si>
    <t>Ô tô 15 tấn</t>
  </si>
  <si>
    <t>Búa đập thủy lực</t>
  </si>
  <si>
    <t>Máy xúc lật</t>
  </si>
  <si>
    <t>Máy khoan BMK-5</t>
  </si>
  <si>
    <t>Búa khoan tay</t>
  </si>
  <si>
    <t>Máy nén khí</t>
  </si>
  <si>
    <t>HT</t>
  </si>
  <si>
    <t>Xe bồn tưới nước</t>
  </si>
  <si>
    <t>Xe công vụ</t>
  </si>
  <si>
    <t>THIẾT BỊ VĂN PHÒNG</t>
  </si>
  <si>
    <t>tấn/h</t>
  </si>
  <si>
    <t>Nhu cầu</t>
  </si>
  <si>
    <t>Công suất</t>
  </si>
  <si>
    <t>TỔNG HỢP CHI PHÍ XÂY DỰNG CÔNG TRÌNH</t>
  </si>
  <si>
    <t>ĐVT: đồng</t>
  </si>
  <si>
    <t>HẠNG MỤC</t>
  </si>
  <si>
    <t>Thuế GTGT</t>
  </si>
  <si>
    <t>PHẦN XÂY DỰNG CƠ BẢN</t>
  </si>
  <si>
    <t>Thi công tuyến đường vận tải, duy tu cải tạo</t>
  </si>
  <si>
    <t>m3</t>
  </si>
  <si>
    <t>Thi công san nền khu phụ trợ</t>
  </si>
  <si>
    <t>m2</t>
  </si>
  <si>
    <t xml:space="preserve">Thi công diện khai thác đầu tiên </t>
  </si>
  <si>
    <t>Chi phí xây dựng hồ lắng nước, hố thu nước</t>
  </si>
  <si>
    <t>KHU PHỤ TRỢ MỎ</t>
  </si>
  <si>
    <t xml:space="preserve">Nhà văn phòng </t>
  </si>
  <si>
    <t>Nhà nghỉ công nhân, nhà ăn, nhà vệ sinh</t>
  </si>
  <si>
    <t>Kho vật tư</t>
  </si>
  <si>
    <t xml:space="preserve">Xưởng sửa chữa thiết bị </t>
  </si>
  <si>
    <t>Kho chất thải nguy hại</t>
  </si>
  <si>
    <t>Kho nhiên liệu</t>
  </si>
  <si>
    <t xml:space="preserve">Nhà bảo vệ </t>
  </si>
  <si>
    <t>Trạm điện 1000KVA</t>
  </si>
  <si>
    <t>TỔNG CHI PHÍ XÂY DỰNG</t>
  </si>
  <si>
    <t>Khu phô trî</t>
  </si>
  <si>
    <t>HÖ thèng cÊp ®iÖn</t>
  </si>
  <si>
    <t>HÖ thèng cÊp n­íc</t>
  </si>
  <si>
    <t>Chi phÝ x©y nhµ t¹m t¹i hiÖn tr­êng ®Ó ë vµ ®iÒu hµnh thi c«ng</t>
  </si>
  <si>
    <t>III</t>
  </si>
  <si>
    <t>Tæng møc ®Çu t­ x©y dùng c¬ b¶n</t>
  </si>
  <si>
    <t>Các khoản chi phí</t>
  </si>
  <si>
    <t>Diễn giải</t>
  </si>
  <si>
    <t>trước thuế</t>
  </si>
  <si>
    <t>Chi chí quản lý dự án theo quy định</t>
  </si>
  <si>
    <t>(Gxd+Gtb) x 3,557%</t>
  </si>
  <si>
    <t>Chi phí tư vấn khác</t>
  </si>
  <si>
    <t>Lắp đặt trạm cân, camera để xác định, giám sát sản lượng khoáng sản khai thác thực tế.</t>
  </si>
  <si>
    <t>Các loại thuế, phí</t>
  </si>
  <si>
    <t>Lệ phí cấp phép khai thác khoáng sản</t>
  </si>
  <si>
    <t>Phí thẩm định phương án khai thác</t>
  </si>
  <si>
    <t>Gxd x 0,188%</t>
  </si>
  <si>
    <t>Chi phí thẩm tra, phê duyệt quyết toán</t>
  </si>
  <si>
    <t>(Gxd+Gtb) x 0,495%</t>
  </si>
  <si>
    <t>Chi phí kiểm toán độc lập</t>
  </si>
  <si>
    <t>(Gxd+Gtb) x 0,785%</t>
  </si>
  <si>
    <t>Tiền cấp quyền khai thác KS năm đầu</t>
  </si>
  <si>
    <t>Nghị định số 193/2025/NĐ- CP ngày 02/7/2025</t>
  </si>
  <si>
    <t>Ký quỹ cải tạo phục hồi môi trường năm đầu</t>
  </si>
  <si>
    <t>TỔNG CỘNG</t>
  </si>
  <si>
    <t>Chi phí lập Báo cáo nghiên cứu khả thi (điều chỉnh), trình thẩm định</t>
  </si>
  <si>
    <t>Chi phí thăm dò khoáng sản</t>
  </si>
  <si>
    <t>Chi phí lập ĐTM và trình duyệt</t>
  </si>
  <si>
    <t>Diện tích</t>
  </si>
  <si>
    <t>Đất san lấp</t>
  </si>
  <si>
    <t>vật liệu san lấp</t>
  </si>
  <si>
    <t>Vk</t>
  </si>
  <si>
    <t>n</t>
  </si>
  <si>
    <t>ca</t>
  </si>
  <si>
    <t>Nl</t>
  </si>
  <si>
    <t>Pk</t>
  </si>
  <si>
    <t>hệ số</t>
  </si>
  <si>
    <t>Qk</t>
  </si>
  <si>
    <t>Máy khoan chính</t>
  </si>
  <si>
    <t>Máy khoan con cầm tay</t>
  </si>
  <si>
    <t>Vqc</t>
  </si>
  <si>
    <t>Nn</t>
  </si>
  <si>
    <t>Qc</t>
  </si>
  <si>
    <t>K</t>
  </si>
  <si>
    <t>P</t>
  </si>
  <si>
    <t xml:space="preserve">Máy xúc TLGN xúc đá nguyên khai </t>
  </si>
  <si>
    <t>Kd</t>
  </si>
  <si>
    <t>tc</t>
  </si>
  <si>
    <t>Kr</t>
  </si>
  <si>
    <t>s</t>
  </si>
  <si>
    <t>Năng suất năm của máy xúc</t>
  </si>
  <si>
    <t>Qn</t>
  </si>
  <si>
    <t>Ca năm</t>
  </si>
  <si>
    <t>Ca ngày</t>
  </si>
  <si>
    <t xml:space="preserve">Máy xúc TLGN xúc vật liệu san lấp </t>
  </si>
  <si>
    <r>
      <t xml:space="preserve"> </t>
    </r>
    <r>
      <rPr>
        <sz val="10"/>
        <color theme="1"/>
        <rFont val="Times New Roman"/>
        <family val="1"/>
      </rPr>
      <t xml:space="preserve"> , 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/ca</t>
    </r>
  </si>
  <si>
    <r>
      <t>Q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 xml:space="preserve"> = Q</t>
    </r>
    <r>
      <rPr>
        <vertAlign val="subscript"/>
        <sz val="10"/>
        <color theme="1"/>
        <rFont val="Times New Roman"/>
        <family val="1"/>
      </rPr>
      <t xml:space="preserve">c </t>
    </r>
    <r>
      <rPr>
        <sz val="10"/>
        <color theme="1"/>
        <rFont val="Times New Roman"/>
        <family val="1"/>
      </rPr>
      <t>. N . n</t>
    </r>
  </si>
  <si>
    <t>Năng suất giờ của máy xúc</t>
  </si>
  <si>
    <t>Tv</t>
  </si>
  <si>
    <t xml:space="preserve">Năng suất ca của máy xúc lật </t>
  </si>
  <si>
    <t>Năng suất năm của máy xúc lật</t>
  </si>
  <si>
    <t>Số ngày làm việc trong năm</t>
  </si>
  <si>
    <t>Số ca làm việc trong ngày</t>
  </si>
  <si>
    <t xml:space="preserve">Tính số máy xúc lật cần thiết </t>
  </si>
  <si>
    <t>Ô tô</t>
  </si>
  <si>
    <t>q - Tải trọng ô tô:</t>
  </si>
  <si>
    <t>T - Thời gian làm việc trong ca</t>
  </si>
  <si>
    <t>n - Số ca làm việc trong ngày</t>
  </si>
  <si>
    <t>E - dung tích gầu xúc</t>
  </si>
  <si>
    <t>thời gian xúc đầy xe</t>
  </si>
  <si>
    <t>Thời gian chu kì xe chạy</t>
  </si>
  <si>
    <r>
      <t>Tính năng suất máy xúc lật 5m</t>
    </r>
    <r>
      <rPr>
        <b/>
        <i/>
        <vertAlign val="superscript"/>
        <sz val="10"/>
        <color theme="1"/>
        <rFont val="Times New Roman"/>
        <family val="1"/>
      </rPr>
      <t>3</t>
    </r>
  </si>
  <si>
    <r>
      <t>k</t>
    </r>
    <r>
      <rPr>
        <vertAlign val="subscript"/>
        <sz val="10"/>
        <color theme="1"/>
        <rFont val="Times New Roman"/>
        <family val="1"/>
      </rPr>
      <t>t</t>
    </r>
    <r>
      <rPr>
        <sz val="10"/>
        <color theme="1"/>
        <rFont val="Times New Roman"/>
        <family val="1"/>
      </rPr>
      <t xml:space="preserve"> - Hệ số sử dụng tải trọng</t>
    </r>
  </si>
  <si>
    <r>
      <t>h</t>
    </r>
    <r>
      <rPr>
        <vertAlign val="subscript"/>
        <sz val="10"/>
        <color theme="1"/>
        <rFont val="Times New Roman"/>
        <family val="1"/>
      </rPr>
      <t>c</t>
    </r>
    <r>
      <rPr>
        <sz val="10"/>
        <color theme="1"/>
        <rFont val="Times New Roman"/>
        <family val="1"/>
      </rPr>
      <t xml:space="preserve"> - Hệ số sử dụng thời gian trong ngày</t>
    </r>
  </si>
  <si>
    <r>
      <t>T</t>
    </r>
    <r>
      <rPr>
        <vertAlign val="subscript"/>
        <sz val="10"/>
        <color theme="1"/>
        <rFont val="Times New Roman"/>
        <family val="1"/>
      </rPr>
      <t>C</t>
    </r>
    <r>
      <rPr>
        <sz val="10"/>
        <color theme="1"/>
        <rFont val="Times New Roman"/>
        <family val="1"/>
      </rPr>
      <t xml:space="preserve"> - thời gian chu kì xe chạy</t>
    </r>
  </si>
  <si>
    <r>
      <t>g</t>
    </r>
    <r>
      <rPr>
        <vertAlign val="subscript"/>
        <sz val="10"/>
        <color theme="1"/>
        <rFont val="Times New Roman"/>
        <family val="1"/>
      </rPr>
      <t>d</t>
    </r>
    <r>
      <rPr>
        <sz val="10"/>
        <color theme="1"/>
        <rFont val="Times New Roman"/>
        <family val="1"/>
      </rPr>
      <t xml:space="preserve"> - Trọng lượng thể tích của đá</t>
    </r>
  </si>
  <si>
    <r>
      <t>k</t>
    </r>
    <r>
      <rPr>
        <vertAlign val="subscript"/>
        <sz val="10"/>
        <color theme="1"/>
        <rFont val="Times New Roman"/>
        <family val="1"/>
      </rPr>
      <t>d</t>
    </r>
    <r>
      <rPr>
        <sz val="10"/>
        <color theme="1"/>
        <rFont val="Times New Roman"/>
        <family val="1"/>
      </rPr>
      <t xml:space="preserve"> - hệ số xúc đầy gàu</t>
    </r>
  </si>
  <si>
    <r>
      <t>k</t>
    </r>
    <r>
      <rPr>
        <vertAlign val="subscript"/>
        <sz val="10"/>
        <color theme="1"/>
        <rFont val="Times New Roman"/>
        <family val="1"/>
      </rPr>
      <t>r</t>
    </r>
    <r>
      <rPr>
        <sz val="10"/>
        <color theme="1"/>
        <rFont val="Times New Roman"/>
        <family val="1"/>
      </rPr>
      <t xml:space="preserve"> - hệ số nở rời của đá trong gàu xúc</t>
    </r>
  </si>
  <si>
    <r>
      <t>t’</t>
    </r>
    <r>
      <rPr>
        <vertAlign val="subscript"/>
        <sz val="10"/>
        <color theme="1"/>
        <rFont val="Times New Roman"/>
        <family val="1"/>
      </rPr>
      <t xml:space="preserve">c </t>
    </r>
    <r>
      <rPr>
        <sz val="10"/>
        <color theme="1"/>
        <rFont val="Times New Roman"/>
        <family val="1"/>
      </rPr>
      <t>- thời gian chu kì xúc</t>
    </r>
  </si>
  <si>
    <r>
      <t>t</t>
    </r>
    <r>
      <rPr>
        <vertAlign val="subscript"/>
        <sz val="10"/>
        <color theme="1"/>
        <rFont val="Times New Roman"/>
        <family val="1"/>
      </rPr>
      <t>d</t>
    </r>
    <r>
      <rPr>
        <sz val="10"/>
        <color theme="1"/>
        <rFont val="Times New Roman"/>
        <family val="1"/>
      </rPr>
      <t xml:space="preserve"> - thời gian dỡ hàng</t>
    </r>
  </si>
  <si>
    <r>
      <t>t</t>
    </r>
    <r>
      <rPr>
        <vertAlign val="subscript"/>
        <sz val="10"/>
        <color theme="1"/>
        <rFont val="Times New Roman"/>
        <family val="1"/>
      </rPr>
      <t xml:space="preserve">c </t>
    </r>
    <r>
      <rPr>
        <sz val="10"/>
        <color theme="1"/>
        <rFont val="Times New Roman"/>
        <family val="1"/>
      </rPr>
      <t>- thời gian chạy có tải</t>
    </r>
  </si>
  <si>
    <r>
      <t>t</t>
    </r>
    <r>
      <rPr>
        <vertAlign val="subscript"/>
        <sz val="10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 xml:space="preserve"> - Thời gian chạy không tải</t>
    </r>
  </si>
  <si>
    <t>Năng suất ô tô:</t>
  </si>
  <si>
    <t>Số ô tô cần thiết</t>
  </si>
  <si>
    <t>Đá nguyên khối đưa vào nghiền theo công suất khai thác</t>
  </si>
  <si>
    <t>Trọng lượng thể tích của đá</t>
  </si>
  <si>
    <t>Khối lượng đá đưa vào nghiền 1 năm (312 ngày)</t>
  </si>
  <si>
    <t>Khối lượng đá đưa vào nghiền 1 ngày (16 giờ)</t>
  </si>
  <si>
    <t>Khối lượng đá đưa vào nghiền 1 giờ</t>
  </si>
  <si>
    <t>(tấn/năm)</t>
  </si>
  <si>
    <t>(tấn/ngày)</t>
  </si>
  <si>
    <t>(tấn/h)</t>
  </si>
  <si>
    <r>
      <t>(m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/năm)</t>
    </r>
  </si>
  <si>
    <r>
      <t>(tấn/m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N.khối)</t>
    </r>
  </si>
  <si>
    <t>Công suất trạm nghiền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</si>
</sst>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_(* #,##0.0_);_(* \(#,##0.0\);_(* &quot;-&quot;??_);_(@_)"/>
    <numFmt numFmtId="168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i/>
      <vertAlign val="superscript"/>
      <sz val="14"/>
      <name val="Times New Roman"/>
      <family val="1"/>
    </font>
    <font>
      <vertAlign val="superscript"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i/>
      <vertAlign val="superscript"/>
      <sz val="13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.VnTime"/>
      <family val="2"/>
    </font>
    <font>
      <b/>
      <sz val="13"/>
      <name val="Times New Roman"/>
      <family val="1"/>
    </font>
    <font>
      <b/>
      <sz val="14"/>
      <color rgb="FF1A04BC"/>
      <name val="Times New Roman"/>
      <family val="1"/>
    </font>
    <font>
      <sz val="13"/>
      <name val="Times New Roman"/>
      <family val="1"/>
    </font>
    <font>
      <sz val="13"/>
      <color rgb="FF000000"/>
      <name val="Cambria"/>
      <family val="1"/>
    </font>
    <font>
      <b/>
      <sz val="10"/>
      <color rgb="FFEE0000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i/>
      <vertAlign val="superscript"/>
      <sz val="10"/>
      <color theme="1"/>
      <name val="Times New Roman"/>
      <family val="1"/>
    </font>
    <font>
      <b/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</cellStyleXfs>
  <cellXfs count="169">
    <xf numFmtId="0" fontId="0" fillId="0" borderId="0" xfId="0"/>
    <xf numFmtId="3" fontId="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right" vertical="center" wrapText="1"/>
    </xf>
    <xf numFmtId="3" fontId="15" fillId="2" borderId="1" xfId="0" applyNumberFormat="1" applyFont="1" applyFill="1" applyBorder="1" applyAlignment="1">
      <alignment horizontal="right" vertical="center" wrapText="1"/>
    </xf>
    <xf numFmtId="3" fontId="17" fillId="2" borderId="1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3" fontId="8" fillId="0" borderId="0" xfId="0" applyNumberFormat="1" applyFont="1"/>
    <xf numFmtId="3" fontId="8" fillId="0" borderId="1" xfId="0" applyNumberFormat="1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vertical="center"/>
    </xf>
    <xf numFmtId="164" fontId="23" fillId="4" borderId="1" xfId="1" applyNumberFormat="1" applyFont="1" applyFill="1" applyBorder="1" applyAlignment="1">
      <alignment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164" fontId="24" fillId="0" borderId="1" xfId="1" applyNumberFormat="1" applyFont="1" applyFill="1" applyBorder="1" applyAlignment="1">
      <alignment vertical="center"/>
    </xf>
    <xf numFmtId="165" fontId="8" fillId="0" borderId="0" xfId="0" applyNumberFormat="1" applyFont="1"/>
    <xf numFmtId="164" fontId="8" fillId="0" borderId="0" xfId="0" applyNumberFormat="1" applyFont="1"/>
    <xf numFmtId="0" fontId="8" fillId="4" borderId="0" xfId="0" applyFont="1" applyFill="1"/>
    <xf numFmtId="3" fontId="8" fillId="4" borderId="0" xfId="0" applyNumberFormat="1" applyFont="1" applyFill="1"/>
    <xf numFmtId="0" fontId="3" fillId="0" borderId="1" xfId="0" applyFont="1" applyBorder="1" applyAlignment="1">
      <alignment horizontal="justify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2" fillId="0" borderId="0" xfId="0" applyFont="1"/>
    <xf numFmtId="164" fontId="2" fillId="0" borderId="0" xfId="1" applyNumberFormat="1" applyFont="1"/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right" vertical="center"/>
    </xf>
    <xf numFmtId="3" fontId="29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164" fontId="2" fillId="0" borderId="1" xfId="1" applyNumberFormat="1" applyFont="1" applyBorder="1"/>
    <xf numFmtId="167" fontId="2" fillId="0" borderId="1" xfId="1" applyNumberFormat="1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12" fillId="0" borderId="0" xfId="0" applyFont="1"/>
    <xf numFmtId="164" fontId="12" fillId="0" borderId="1" xfId="1" applyNumberFormat="1" applyFont="1" applyBorder="1" applyAlignment="1">
      <alignment horizontal="center"/>
    </xf>
    <xf numFmtId="0" fontId="31" fillId="3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vertical="center" wrapText="1"/>
    </xf>
    <xf numFmtId="3" fontId="31" fillId="3" borderId="0" xfId="0" applyNumberFormat="1" applyFont="1" applyFill="1" applyAlignment="1">
      <alignment vertical="center"/>
    </xf>
    <xf numFmtId="0" fontId="33" fillId="0" borderId="1" xfId="3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0" fontId="33" fillId="3" borderId="1" xfId="3" applyFont="1" applyFill="1" applyBorder="1" applyAlignment="1">
      <alignment horizontal="center" vertical="center" wrapText="1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3" fontId="33" fillId="0" borderId="1" xfId="3" applyNumberFormat="1" applyFont="1" applyBorder="1" applyAlignment="1">
      <alignment horizontal="right" vertical="center" wrapText="1"/>
    </xf>
    <xf numFmtId="0" fontId="35" fillId="0" borderId="1" xfId="0" applyFont="1" applyBorder="1" applyAlignment="1">
      <alignment horizontal="center" vertical="center"/>
    </xf>
    <xf numFmtId="0" fontId="35" fillId="0" borderId="1" xfId="3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43" fontId="35" fillId="0" borderId="1" xfId="1" applyFont="1" applyFill="1" applyBorder="1" applyAlignment="1">
      <alignment horizontal="center" vertical="center" wrapText="1"/>
    </xf>
    <xf numFmtId="3" fontId="35" fillId="0" borderId="1" xfId="3" applyNumberFormat="1" applyFont="1" applyBorder="1" applyAlignment="1">
      <alignment vertical="center" wrapText="1"/>
    </xf>
    <xf numFmtId="3" fontId="35" fillId="0" borderId="5" xfId="3" applyNumberFormat="1" applyFont="1" applyBorder="1" applyAlignment="1">
      <alignment vertical="center" wrapText="1"/>
    </xf>
    <xf numFmtId="3" fontId="35" fillId="0" borderId="6" xfId="3" applyNumberFormat="1" applyFont="1" applyBorder="1" applyAlignment="1">
      <alignment vertical="center" wrapText="1"/>
    </xf>
    <xf numFmtId="0" fontId="20" fillId="0" borderId="0" xfId="0" applyFont="1" applyAlignment="1">
      <alignment vertical="center"/>
    </xf>
    <xf numFmtId="3" fontId="35" fillId="0" borderId="0" xfId="3" applyNumberFormat="1" applyFont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43" fontId="33" fillId="0" borderId="1" xfId="1" applyFont="1" applyFill="1" applyBorder="1" applyAlignment="1">
      <alignment horizontal="center" vertical="center" wrapText="1"/>
    </xf>
    <xf numFmtId="3" fontId="33" fillId="0" borderId="1" xfId="3" applyNumberFormat="1" applyFont="1" applyBorder="1" applyAlignment="1">
      <alignment vertical="center" wrapText="1"/>
    </xf>
    <xf numFmtId="3" fontId="33" fillId="0" borderId="0" xfId="3" applyNumberFormat="1" applyFont="1" applyAlignment="1">
      <alignment vertical="center" wrapText="1"/>
    </xf>
    <xf numFmtId="0" fontId="31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3" fontId="33" fillId="0" borderId="1" xfId="3" applyNumberFormat="1" applyFont="1" applyBorder="1" applyAlignment="1">
      <alignment vertical="center"/>
    </xf>
    <xf numFmtId="3" fontId="33" fillId="3" borderId="1" xfId="3" applyNumberFormat="1" applyFont="1" applyFill="1" applyBorder="1" applyAlignment="1">
      <alignment vertical="center"/>
    </xf>
    <xf numFmtId="0" fontId="31" fillId="3" borderId="0" xfId="0" applyFont="1" applyFill="1" applyAlignment="1">
      <alignment vertical="center"/>
    </xf>
    <xf numFmtId="0" fontId="33" fillId="3" borderId="2" xfId="3" applyFont="1" applyFill="1" applyBorder="1" applyAlignment="1">
      <alignment horizontal="center" vertical="center"/>
    </xf>
    <xf numFmtId="0" fontId="33" fillId="3" borderId="2" xfId="3" applyFont="1" applyFill="1" applyBorder="1" applyAlignment="1">
      <alignment horizontal="center" vertical="center" wrapText="1"/>
    </xf>
    <xf numFmtId="3" fontId="33" fillId="3" borderId="2" xfId="3" applyNumberFormat="1" applyFont="1" applyFill="1" applyBorder="1" applyAlignment="1">
      <alignment horizontal="right"/>
    </xf>
    <xf numFmtId="3" fontId="33" fillId="3" borderId="2" xfId="3" applyNumberFormat="1" applyFont="1" applyFill="1" applyBorder="1" applyAlignment="1">
      <alignment vertical="center" wrapText="1"/>
    </xf>
    <xf numFmtId="3" fontId="33" fillId="3" borderId="7" xfId="3" applyNumberFormat="1" applyFont="1" applyFill="1" applyBorder="1" applyAlignment="1">
      <alignment vertical="center" wrapText="1"/>
    </xf>
    <xf numFmtId="3" fontId="35" fillId="3" borderId="8" xfId="3" applyNumberFormat="1" applyFont="1" applyFill="1" applyBorder="1" applyAlignment="1">
      <alignment vertical="center" wrapText="1"/>
    </xf>
    <xf numFmtId="0" fontId="33" fillId="3" borderId="1" xfId="3" applyFont="1" applyFill="1" applyBorder="1" applyAlignment="1">
      <alignment horizontal="center" vertical="center"/>
    </xf>
    <xf numFmtId="3" fontId="33" fillId="3" borderId="1" xfId="3" applyNumberFormat="1" applyFont="1" applyFill="1" applyBorder="1" applyAlignment="1">
      <alignment horizontal="right"/>
    </xf>
    <xf numFmtId="3" fontId="33" fillId="3" borderId="1" xfId="3" applyNumberFormat="1" applyFont="1" applyFill="1" applyBorder="1" applyAlignment="1">
      <alignment vertical="center" wrapText="1"/>
    </xf>
    <xf numFmtId="3" fontId="33" fillId="3" borderId="3" xfId="3" applyNumberFormat="1" applyFont="1" applyFill="1" applyBorder="1" applyAlignment="1">
      <alignment vertical="center" wrapText="1"/>
    </xf>
    <xf numFmtId="3" fontId="35" fillId="3" borderId="6" xfId="3" applyNumberFormat="1" applyFont="1" applyFill="1" applyBorder="1" applyAlignment="1">
      <alignment vertical="center" wrapText="1"/>
    </xf>
    <xf numFmtId="0" fontId="30" fillId="3" borderId="1" xfId="0" applyFont="1" applyFill="1" applyBorder="1" applyAlignment="1">
      <alignment wrapText="1"/>
    </xf>
    <xf numFmtId="3" fontId="33" fillId="3" borderId="3" xfId="3" applyNumberFormat="1" applyFont="1" applyFill="1" applyBorder="1" applyAlignment="1">
      <alignment horizontal="right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vertical="center" wrapText="1"/>
    </xf>
    <xf numFmtId="3" fontId="33" fillId="3" borderId="1" xfId="0" applyNumberFormat="1" applyFont="1" applyFill="1" applyBorder="1" applyAlignment="1">
      <alignment horizontal="center" vertical="center"/>
    </xf>
    <xf numFmtId="3" fontId="33" fillId="3" borderId="3" xfId="0" applyNumberFormat="1" applyFont="1" applyFill="1" applyBorder="1" applyAlignment="1">
      <alignment horizontal="center" vertical="center"/>
    </xf>
    <xf numFmtId="3" fontId="20" fillId="3" borderId="0" xfId="0" applyNumberFormat="1" applyFont="1" applyFill="1" applyAlignment="1">
      <alignment vertical="center"/>
    </xf>
    <xf numFmtId="4" fontId="20" fillId="3" borderId="0" xfId="0" applyNumberFormat="1" applyFont="1" applyFill="1" applyAlignment="1">
      <alignment horizontal="right" vertical="center"/>
    </xf>
    <xf numFmtId="3" fontId="33" fillId="3" borderId="9" xfId="3" applyNumberFormat="1" applyFont="1" applyFill="1" applyBorder="1" applyAlignment="1">
      <alignment horizontal="right"/>
    </xf>
    <xf numFmtId="3" fontId="33" fillId="3" borderId="10" xfId="3" applyNumberFormat="1" applyFont="1" applyFill="1" applyBorder="1" applyAlignment="1">
      <alignment horizontal="right"/>
    </xf>
    <xf numFmtId="3" fontId="20" fillId="3" borderId="0" xfId="0" applyNumberFormat="1" applyFont="1" applyFill="1" applyAlignment="1">
      <alignment vertical="center" wrapText="1"/>
    </xf>
    <xf numFmtId="165" fontId="20" fillId="3" borderId="0" xfId="0" applyNumberFormat="1" applyFont="1" applyFill="1" applyAlignment="1">
      <alignment vertical="center"/>
    </xf>
    <xf numFmtId="3" fontId="20" fillId="0" borderId="1" xfId="0" applyNumberFormat="1" applyFont="1" applyBorder="1"/>
    <xf numFmtId="0" fontId="35" fillId="0" borderId="1" xfId="0" applyFont="1" applyBorder="1"/>
    <xf numFmtId="0" fontId="19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6" fontId="8" fillId="0" borderId="1" xfId="2" applyNumberFormat="1" applyFont="1" applyBorder="1" applyAlignment="1">
      <alignment horizontal="center" vertical="center" wrapText="1"/>
    </xf>
    <xf numFmtId="9" fontId="8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justify" vertical="center" wrapText="1"/>
    </xf>
    <xf numFmtId="3" fontId="8" fillId="0" borderId="0" xfId="0" applyNumberFormat="1" applyFont="1" applyBorder="1" applyAlignment="1">
      <alignment horizontal="right" vertical="center" wrapText="1"/>
    </xf>
    <xf numFmtId="9" fontId="24" fillId="0" borderId="1" xfId="2" applyFont="1" applyFill="1" applyBorder="1" applyAlignment="1">
      <alignment vertical="center"/>
    </xf>
    <xf numFmtId="168" fontId="2" fillId="0" borderId="0" xfId="0" applyNumberFormat="1" applyFont="1"/>
    <xf numFmtId="3" fontId="2" fillId="0" borderId="0" xfId="0" applyNumberFormat="1" applyFont="1"/>
    <xf numFmtId="0" fontId="2" fillId="4" borderId="0" xfId="0" applyFont="1" applyFill="1" applyAlignment="1">
      <alignment horizontal="center"/>
    </xf>
    <xf numFmtId="0" fontId="37" fillId="0" borderId="0" xfId="0" applyFont="1"/>
    <xf numFmtId="0" fontId="38" fillId="0" borderId="0" xfId="0" applyFont="1"/>
    <xf numFmtId="0" fontId="29" fillId="0" borderId="0" xfId="0" applyFont="1" applyAlignment="1">
      <alignment horizontal="center" vertical="center"/>
    </xf>
    <xf numFmtId="0" fontId="38" fillId="0" borderId="0" xfId="0" applyFont="1" applyAlignment="1">
      <alignment horizontal="justify" vertical="center"/>
    </xf>
    <xf numFmtId="0" fontId="41" fillId="0" borderId="0" xfId="0" applyFont="1"/>
    <xf numFmtId="3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4" borderId="0" xfId="0" applyFont="1" applyFill="1"/>
    <xf numFmtId="0" fontId="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_Tong du toan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</xdr:col>
      <xdr:colOff>962025</xdr:colOff>
      <xdr:row>52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02F17B7-DE7C-CEC8-3E4D-E6B02583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96250"/>
          <a:ext cx="96202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2401957</xdr:colOff>
      <xdr:row>60</xdr:row>
      <xdr:rowOff>66261</xdr:rowOff>
    </xdr:from>
    <xdr:to>
      <xdr:col>2</xdr:col>
      <xdr:colOff>540026</xdr:colOff>
      <xdr:row>62</xdr:row>
      <xdr:rowOff>193400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6BD80F75-A0D5-3BC7-253B-9162E788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870" y="10096500"/>
          <a:ext cx="1401417" cy="483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480391</xdr:colOff>
      <xdr:row>72</xdr:row>
      <xdr:rowOff>57978</xdr:rowOff>
    </xdr:from>
    <xdr:to>
      <xdr:col>1</xdr:col>
      <xdr:colOff>1220028</xdr:colOff>
      <xdr:row>74</xdr:row>
      <xdr:rowOff>25676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FA560B8B-771B-3311-F18F-1AAA48FBA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391" y="12192000"/>
          <a:ext cx="1352550" cy="381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389282</xdr:colOff>
      <xdr:row>86</xdr:row>
      <xdr:rowOff>0</xdr:rowOff>
    </xdr:from>
    <xdr:to>
      <xdr:col>2</xdr:col>
      <xdr:colOff>1165252</xdr:colOff>
      <xdr:row>88</xdr:row>
      <xdr:rowOff>104940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52475BB4-18ED-DFF6-CFE3-1763D180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5543" y="14618804"/>
          <a:ext cx="775970" cy="4362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1076325</xdr:colOff>
      <xdr:row>114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8F178DC-015C-67A9-8C78-EA5512D0B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73725"/>
          <a:ext cx="107632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265043</xdr:colOff>
      <xdr:row>118</xdr:row>
      <xdr:rowOff>115957</xdr:rowOff>
    </xdr:from>
    <xdr:to>
      <xdr:col>2</xdr:col>
      <xdr:colOff>1284218</xdr:colOff>
      <xdr:row>121</xdr:row>
      <xdr:rowOff>17393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9292BE58-C4A5-2038-FFBB-38592069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304" y="20027348"/>
          <a:ext cx="1019175" cy="489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1657350</xdr:colOff>
      <xdr:row>126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83EEF08A-6774-856C-F479-5B45B6FAB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88300"/>
          <a:ext cx="16573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2302566</xdr:colOff>
      <xdr:row>132</xdr:row>
      <xdr:rowOff>115956</xdr:rowOff>
    </xdr:from>
    <xdr:to>
      <xdr:col>1</xdr:col>
      <xdr:colOff>3226491</xdr:colOff>
      <xdr:row>135</xdr:row>
      <xdr:rowOff>9939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F7FAF572-173E-97E2-91FE-6DABCCC1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5479" y="22139413"/>
          <a:ext cx="923925" cy="424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%20TAIDOAN\OneDrive\0.%20HO%20SO%20CAC%20TINH\21.%20AN%20GIANG\11.%20TRA%20DUOC\2.BAN%20VE%2012.11.25\DON\21.11.Hieu%20qua%20kinh%20te%20mo%20da%20bazan%20dak%20nong%20-%20bo%20sung%20cp%20no%20m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Tong Muc DT (2)"/>
      <sheetName val="XCB mo"/>
      <sheetName val="Máy xúc"/>
      <sheetName val="Ô tô"/>
      <sheetName val="Thiet bi "/>
      <sheetName val="CPQL"/>
      <sheetName val="DBGPMB"/>
      <sheetName val="B 6-KHSD von"/>
      <sheetName val="B7-Lai vay "/>
      <sheetName val="6,CFSX"/>
      <sheetName val="DT"/>
      <sheetName val="7-HQKT"/>
      <sheetName val="Hieu qua KTKT"/>
      <sheetName val="Tien cap quyen"/>
      <sheetName val="Thuê phi"/>
      <sheetName val="DM-Diezel"/>
      <sheetName val="00000000"/>
      <sheetName val="10000000"/>
      <sheetName val="VLĐ"/>
      <sheetName val="CP nổ mìn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zoomScaleNormal="100" workbookViewId="0">
      <selection activeCell="F7" sqref="F7"/>
    </sheetView>
  </sheetViews>
  <sheetFormatPr defaultRowHeight="15.75" x14ac:dyDescent="0.25"/>
  <cols>
    <col min="1" max="1" width="9.140625" style="22"/>
    <col min="2" max="2" width="29.140625" style="22" customWidth="1"/>
    <col min="3" max="3" width="18.85546875" style="22" customWidth="1"/>
    <col min="4" max="4" width="23.140625" style="22" customWidth="1"/>
    <col min="5" max="6" width="17.28515625" style="22" customWidth="1"/>
    <col min="7" max="7" width="17.85546875" style="22" customWidth="1"/>
    <col min="8" max="16384" width="9.140625" style="22"/>
  </cols>
  <sheetData>
    <row r="2" spans="2:6" x14ac:dyDescent="0.25">
      <c r="B2" s="49" t="s">
        <v>96</v>
      </c>
      <c r="C2" s="50">
        <f>C3+C4+C5</f>
        <v>17198149</v>
      </c>
    </row>
    <row r="3" spans="2:6" x14ac:dyDescent="0.25">
      <c r="B3" s="22" t="s">
        <v>97</v>
      </c>
      <c r="C3" s="33">
        <v>1720428</v>
      </c>
    </row>
    <row r="4" spans="2:6" x14ac:dyDescent="0.25">
      <c r="B4" s="22" t="s">
        <v>98</v>
      </c>
      <c r="C4" s="33">
        <v>2102668</v>
      </c>
    </row>
    <row r="5" spans="2:6" x14ac:dyDescent="0.25">
      <c r="B5" s="22" t="s">
        <v>99</v>
      </c>
      <c r="C5" s="33">
        <v>13375053</v>
      </c>
    </row>
    <row r="6" spans="2:6" x14ac:dyDescent="0.25">
      <c r="B6" s="49" t="s">
        <v>100</v>
      </c>
      <c r="C6" s="50">
        <f>C7+C8+C9</f>
        <v>15867229</v>
      </c>
    </row>
    <row r="7" spans="2:6" x14ac:dyDescent="0.25">
      <c r="B7" s="22" t="s">
        <v>97</v>
      </c>
      <c r="C7" s="33">
        <v>1699156</v>
      </c>
      <c r="D7" s="33">
        <f>C7+C8</f>
        <v>3567853</v>
      </c>
    </row>
    <row r="8" spans="2:6" x14ac:dyDescent="0.25">
      <c r="B8" s="22" t="s">
        <v>98</v>
      </c>
      <c r="C8" s="33">
        <v>1868697</v>
      </c>
    </row>
    <row r="9" spans="2:6" x14ac:dyDescent="0.25">
      <c r="B9" s="22" t="s">
        <v>99</v>
      </c>
      <c r="C9" s="33">
        <v>12299376</v>
      </c>
    </row>
    <row r="12" spans="2:6" ht="16.5" x14ac:dyDescent="0.25">
      <c r="B12" s="157" t="s">
        <v>80</v>
      </c>
      <c r="C12" s="157" t="s">
        <v>79</v>
      </c>
      <c r="D12" s="157" t="s">
        <v>86</v>
      </c>
      <c r="E12" s="157" t="s">
        <v>101</v>
      </c>
      <c r="F12" s="157"/>
    </row>
    <row r="13" spans="2:6" ht="33" x14ac:dyDescent="0.25">
      <c r="B13" s="157"/>
      <c r="C13" s="157"/>
      <c r="D13" s="157"/>
      <c r="E13" s="10" t="s">
        <v>102</v>
      </c>
      <c r="F13" s="10" t="s">
        <v>103</v>
      </c>
    </row>
    <row r="14" spans="2:6" ht="33" x14ac:dyDescent="0.25">
      <c r="B14" s="12">
        <v>1</v>
      </c>
      <c r="C14" s="51" t="s">
        <v>104</v>
      </c>
      <c r="D14" s="12" t="s">
        <v>105</v>
      </c>
      <c r="E14" s="13">
        <v>1600000</v>
      </c>
      <c r="F14" s="13">
        <v>3000000</v>
      </c>
    </row>
    <row r="15" spans="2:6" ht="19.5" x14ac:dyDescent="0.25">
      <c r="B15" s="12">
        <v>2</v>
      </c>
      <c r="C15" s="51" t="s">
        <v>106</v>
      </c>
      <c r="D15" s="12" t="s">
        <v>105</v>
      </c>
      <c r="E15" s="13">
        <v>800000</v>
      </c>
      <c r="F15" s="13">
        <v>3000000</v>
      </c>
    </row>
    <row r="16" spans="2:6" ht="19.5" x14ac:dyDescent="0.25">
      <c r="B16" s="12">
        <v>3</v>
      </c>
      <c r="C16" s="51" t="s">
        <v>107</v>
      </c>
      <c r="D16" s="12" t="s">
        <v>105</v>
      </c>
      <c r="E16" s="13">
        <v>800000</v>
      </c>
      <c r="F16" s="13">
        <v>3000000</v>
      </c>
    </row>
    <row r="17" spans="2:6" ht="19.5" x14ac:dyDescent="0.25">
      <c r="B17" s="12">
        <v>4</v>
      </c>
      <c r="C17" s="51" t="s">
        <v>108</v>
      </c>
      <c r="D17" s="12" t="s">
        <v>105</v>
      </c>
      <c r="E17" s="13">
        <v>367853</v>
      </c>
      <c r="F17" s="13">
        <v>3000000</v>
      </c>
    </row>
    <row r="18" spans="2:6" ht="19.5" x14ac:dyDescent="0.25">
      <c r="B18" s="12">
        <v>5</v>
      </c>
      <c r="C18" s="51" t="s">
        <v>109</v>
      </c>
      <c r="D18" s="12" t="s">
        <v>105</v>
      </c>
      <c r="E18" s="12"/>
      <c r="F18" s="13">
        <v>299376</v>
      </c>
    </row>
    <row r="19" spans="2:6" ht="20.25" x14ac:dyDescent="0.25">
      <c r="B19" s="158" t="s">
        <v>0</v>
      </c>
      <c r="C19" s="158"/>
      <c r="D19" s="52" t="s">
        <v>110</v>
      </c>
      <c r="E19" s="53">
        <f>SUM(E14:E18)</f>
        <v>3567853</v>
      </c>
      <c r="F19" s="53">
        <f>SUM(F14:F18)</f>
        <v>12299376</v>
      </c>
    </row>
  </sheetData>
  <mergeCells count="5">
    <mergeCell ref="B12:B13"/>
    <mergeCell ref="C12:C13"/>
    <mergeCell ref="D12:D13"/>
    <mergeCell ref="E12:F12"/>
    <mergeCell ref="B19:C19"/>
  </mergeCells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53"/>
  <sheetViews>
    <sheetView topLeftCell="A22" zoomScaleNormal="100" workbookViewId="0">
      <selection activeCell="H37" sqref="H37"/>
    </sheetView>
  </sheetViews>
  <sheetFormatPr defaultRowHeight="12.75" x14ac:dyDescent="0.2"/>
  <cols>
    <col min="1" max="1" width="9.140625" style="66"/>
    <col min="2" max="2" width="46.42578125" style="56" customWidth="1"/>
    <col min="3" max="3" width="19.85546875" style="56" customWidth="1"/>
    <col min="4" max="4" width="14.5703125" style="66" customWidth="1"/>
    <col min="5" max="8" width="18.85546875" style="56" customWidth="1"/>
    <col min="9" max="10" width="9.140625" style="56"/>
    <col min="11" max="11" width="9.140625" style="57"/>
    <col min="12" max="12" width="14.5703125" style="57" customWidth="1"/>
    <col min="13" max="14" width="9.140625" style="57"/>
    <col min="15" max="16384" width="9.140625" style="56"/>
  </cols>
  <sheetData>
    <row r="3" spans="1:8" x14ac:dyDescent="0.2">
      <c r="A3" s="54" t="s">
        <v>1</v>
      </c>
      <c r="B3" s="55" t="s">
        <v>2</v>
      </c>
      <c r="C3" s="2" t="s">
        <v>3</v>
      </c>
      <c r="D3" s="55" t="s">
        <v>69</v>
      </c>
      <c r="E3" s="55" t="s">
        <v>4</v>
      </c>
      <c r="F3" s="55" t="s">
        <v>5</v>
      </c>
      <c r="G3" s="55" t="s">
        <v>6</v>
      </c>
      <c r="H3" s="55" t="s">
        <v>111</v>
      </c>
    </row>
    <row r="4" spans="1:8" x14ac:dyDescent="0.2">
      <c r="A4" s="54" t="s">
        <v>70</v>
      </c>
      <c r="B4" s="55" t="s">
        <v>112</v>
      </c>
      <c r="C4" s="2"/>
      <c r="D4" s="55"/>
      <c r="E4" s="55"/>
      <c r="F4" s="9">
        <f>SUM(F5:F15)</f>
        <v>123527000000</v>
      </c>
      <c r="G4" s="9">
        <f>SUM(G5:G15)</f>
        <v>12352700000</v>
      </c>
      <c r="H4" s="9">
        <f>SUM(H5:H15)</f>
        <v>135879700000</v>
      </c>
    </row>
    <row r="5" spans="1:8" x14ac:dyDescent="0.2">
      <c r="A5" s="58">
        <v>1</v>
      </c>
      <c r="B5" s="5" t="s">
        <v>114</v>
      </c>
      <c r="C5" s="6" t="s">
        <v>113</v>
      </c>
      <c r="D5" s="8">
        <f>D37</f>
        <v>5</v>
      </c>
      <c r="E5" s="1">
        <v>11000000000</v>
      </c>
      <c r="F5" s="1">
        <f>D5*E5</f>
        <v>55000000000</v>
      </c>
      <c r="G5" s="1">
        <f>F5*10%</f>
        <v>5500000000</v>
      </c>
      <c r="H5" s="1">
        <f>F5+G5</f>
        <v>60500000000</v>
      </c>
    </row>
    <row r="6" spans="1:8" x14ac:dyDescent="0.2">
      <c r="A6" s="58">
        <v>4</v>
      </c>
      <c r="B6" s="5" t="s">
        <v>115</v>
      </c>
      <c r="C6" s="6" t="s">
        <v>113</v>
      </c>
      <c r="D6" s="8">
        <v>4</v>
      </c>
      <c r="E6" s="1">
        <v>1500000000</v>
      </c>
      <c r="F6" s="1">
        <f t="shared" ref="F6:F15" si="0">D6*E6</f>
        <v>6000000000</v>
      </c>
      <c r="G6" s="1">
        <f t="shared" ref="G6:G31" si="1">F6*10%</f>
        <v>600000000</v>
      </c>
      <c r="H6" s="1">
        <f t="shared" ref="H6:H15" si="2">F6+G6</f>
        <v>6600000000</v>
      </c>
    </row>
    <row r="7" spans="1:8" x14ac:dyDescent="0.2">
      <c r="A7" s="58">
        <v>5</v>
      </c>
      <c r="B7" s="5" t="s">
        <v>116</v>
      </c>
      <c r="C7" s="6" t="s">
        <v>117</v>
      </c>
      <c r="D7" s="1">
        <v>16</v>
      </c>
      <c r="E7" s="1">
        <v>1200000000</v>
      </c>
      <c r="F7" s="1">
        <f t="shared" si="0"/>
        <v>19200000000</v>
      </c>
      <c r="G7" s="1">
        <f t="shared" si="1"/>
        <v>1920000000</v>
      </c>
      <c r="H7" s="1">
        <f t="shared" si="2"/>
        <v>21120000000</v>
      </c>
    </row>
    <row r="8" spans="1:8" x14ac:dyDescent="0.2">
      <c r="A8" s="58">
        <v>6</v>
      </c>
      <c r="B8" s="5" t="s">
        <v>118</v>
      </c>
      <c r="C8" s="6" t="s">
        <v>117</v>
      </c>
      <c r="D8" s="1">
        <f t="shared" ref="D8:D15" si="3">D40</f>
        <v>50</v>
      </c>
      <c r="E8" s="1">
        <v>630000000</v>
      </c>
      <c r="F8" s="1">
        <f t="shared" si="0"/>
        <v>31500000000</v>
      </c>
      <c r="G8" s="1">
        <f t="shared" si="1"/>
        <v>3150000000</v>
      </c>
      <c r="H8" s="1">
        <f t="shared" si="2"/>
        <v>34650000000</v>
      </c>
    </row>
    <row r="9" spans="1:8" x14ac:dyDescent="0.2">
      <c r="A9" s="58">
        <v>7</v>
      </c>
      <c r="B9" s="5" t="s">
        <v>119</v>
      </c>
      <c r="C9" s="6" t="s">
        <v>117</v>
      </c>
      <c r="D9" s="1">
        <f t="shared" si="3"/>
        <v>3</v>
      </c>
      <c r="E9" s="1">
        <v>500000000</v>
      </c>
      <c r="F9" s="1">
        <f t="shared" si="0"/>
        <v>1500000000</v>
      </c>
      <c r="G9" s="1">
        <f t="shared" si="1"/>
        <v>150000000</v>
      </c>
      <c r="H9" s="1">
        <f t="shared" si="2"/>
        <v>1650000000</v>
      </c>
    </row>
    <row r="10" spans="1:8" x14ac:dyDescent="0.2">
      <c r="A10" s="58">
        <v>8</v>
      </c>
      <c r="B10" s="5" t="s">
        <v>120</v>
      </c>
      <c r="C10" s="6" t="s">
        <v>117</v>
      </c>
      <c r="D10" s="1">
        <f t="shared" si="3"/>
        <v>6</v>
      </c>
      <c r="E10" s="1">
        <v>1200000000</v>
      </c>
      <c r="F10" s="1">
        <f t="shared" si="0"/>
        <v>7200000000</v>
      </c>
      <c r="G10" s="1">
        <f t="shared" si="1"/>
        <v>720000000</v>
      </c>
      <c r="H10" s="1">
        <f t="shared" si="2"/>
        <v>7920000000</v>
      </c>
    </row>
    <row r="11" spans="1:8" x14ac:dyDescent="0.2">
      <c r="A11" s="58">
        <v>9</v>
      </c>
      <c r="B11" s="5" t="s">
        <v>121</v>
      </c>
      <c r="C11" s="6" t="s">
        <v>117</v>
      </c>
      <c r="D11" s="1">
        <f t="shared" si="3"/>
        <v>3</v>
      </c>
      <c r="E11" s="1">
        <v>120000000</v>
      </c>
      <c r="F11" s="1">
        <f t="shared" si="0"/>
        <v>360000000</v>
      </c>
      <c r="G11" s="1">
        <f t="shared" si="1"/>
        <v>36000000</v>
      </c>
      <c r="H11" s="1">
        <f t="shared" si="2"/>
        <v>396000000</v>
      </c>
    </row>
    <row r="12" spans="1:8" x14ac:dyDescent="0.2">
      <c r="A12" s="58">
        <v>10</v>
      </c>
      <c r="B12" s="5" t="s">
        <v>122</v>
      </c>
      <c r="C12" s="6" t="s">
        <v>117</v>
      </c>
      <c r="D12" s="1">
        <f t="shared" si="3"/>
        <v>9</v>
      </c>
      <c r="E12" s="1">
        <v>3000000</v>
      </c>
      <c r="F12" s="1">
        <f t="shared" si="0"/>
        <v>27000000</v>
      </c>
      <c r="G12" s="1">
        <f t="shared" si="1"/>
        <v>2700000</v>
      </c>
      <c r="H12" s="1">
        <f t="shared" si="2"/>
        <v>29700000</v>
      </c>
    </row>
    <row r="13" spans="1:8" x14ac:dyDescent="0.2">
      <c r="A13" s="58">
        <v>11</v>
      </c>
      <c r="B13" s="5" t="s">
        <v>123</v>
      </c>
      <c r="C13" s="6" t="s">
        <v>124</v>
      </c>
      <c r="D13" s="1">
        <f t="shared" si="3"/>
        <v>4</v>
      </c>
      <c r="E13" s="1">
        <v>120000000</v>
      </c>
      <c r="F13" s="1">
        <f t="shared" si="0"/>
        <v>480000000</v>
      </c>
      <c r="G13" s="1">
        <f t="shared" si="1"/>
        <v>48000000</v>
      </c>
      <c r="H13" s="1">
        <f t="shared" si="2"/>
        <v>528000000</v>
      </c>
    </row>
    <row r="14" spans="1:8" x14ac:dyDescent="0.2">
      <c r="A14" s="58">
        <v>12</v>
      </c>
      <c r="B14" s="5" t="s">
        <v>125</v>
      </c>
      <c r="C14" s="58" t="s">
        <v>117</v>
      </c>
      <c r="D14" s="60">
        <f t="shared" si="3"/>
        <v>2</v>
      </c>
      <c r="E14" s="60">
        <v>850000000</v>
      </c>
      <c r="F14" s="1">
        <f t="shared" si="0"/>
        <v>1700000000</v>
      </c>
      <c r="G14" s="1">
        <f t="shared" si="1"/>
        <v>170000000</v>
      </c>
      <c r="H14" s="1">
        <f t="shared" si="2"/>
        <v>1870000000</v>
      </c>
    </row>
    <row r="15" spans="1:8" x14ac:dyDescent="0.2">
      <c r="A15" s="58">
        <v>14</v>
      </c>
      <c r="B15" s="61" t="s">
        <v>126</v>
      </c>
      <c r="C15" s="58" t="s">
        <v>117</v>
      </c>
      <c r="D15" s="59">
        <f t="shared" si="3"/>
        <v>1</v>
      </c>
      <c r="E15" s="60">
        <v>560000000</v>
      </c>
      <c r="F15" s="1">
        <f t="shared" si="0"/>
        <v>560000000</v>
      </c>
      <c r="G15" s="1">
        <f t="shared" si="1"/>
        <v>56000000</v>
      </c>
      <c r="H15" s="1">
        <f t="shared" si="2"/>
        <v>616000000</v>
      </c>
    </row>
    <row r="16" spans="1:8" x14ac:dyDescent="0.2">
      <c r="A16" s="54" t="s">
        <v>71</v>
      </c>
      <c r="B16" s="55" t="s">
        <v>127</v>
      </c>
      <c r="C16" s="6"/>
      <c r="D16" s="61"/>
      <c r="E16" s="61"/>
      <c r="F16" s="9">
        <f>SUM(F17:F31)</f>
        <v>89700000</v>
      </c>
      <c r="G16" s="9">
        <f t="shared" ref="G16:H16" si="4">SUM(G17:G31)</f>
        <v>8970000</v>
      </c>
      <c r="H16" s="9">
        <f t="shared" si="4"/>
        <v>98670000</v>
      </c>
    </row>
    <row r="17" spans="1:8" x14ac:dyDescent="0.2">
      <c r="A17" s="58">
        <v>15</v>
      </c>
      <c r="B17" s="62" t="s">
        <v>8</v>
      </c>
      <c r="C17" s="58" t="s">
        <v>9</v>
      </c>
      <c r="D17" s="59">
        <v>4</v>
      </c>
      <c r="E17" s="60">
        <v>4000000</v>
      </c>
      <c r="F17" s="1">
        <f t="shared" ref="F17" si="5">D17*E17</f>
        <v>16000000</v>
      </c>
      <c r="G17" s="1">
        <f t="shared" si="1"/>
        <v>1600000</v>
      </c>
      <c r="H17" s="1">
        <f t="shared" ref="H17" si="6">F17+G17</f>
        <v>17600000</v>
      </c>
    </row>
    <row r="18" spans="1:8" x14ac:dyDescent="0.2">
      <c r="A18" s="58">
        <v>16</v>
      </c>
      <c r="B18" s="62" t="s">
        <v>10</v>
      </c>
      <c r="C18" s="58" t="s">
        <v>9</v>
      </c>
      <c r="D18" s="59">
        <v>4</v>
      </c>
      <c r="E18" s="60">
        <v>500000</v>
      </c>
      <c r="F18" s="1">
        <f t="shared" ref="F18:F31" si="7">D18*E18</f>
        <v>2000000</v>
      </c>
      <c r="G18" s="1">
        <f t="shared" si="1"/>
        <v>200000</v>
      </c>
      <c r="H18" s="1">
        <f t="shared" ref="H18:H31" si="8">F18+G18</f>
        <v>2200000</v>
      </c>
    </row>
    <row r="19" spans="1:8" x14ac:dyDescent="0.2">
      <c r="A19" s="58">
        <v>17</v>
      </c>
      <c r="B19" s="62" t="s">
        <v>11</v>
      </c>
      <c r="C19" s="58" t="s">
        <v>12</v>
      </c>
      <c r="D19" s="59">
        <v>2</v>
      </c>
      <c r="E19" s="60">
        <v>3000000</v>
      </c>
      <c r="F19" s="1">
        <f t="shared" si="7"/>
        <v>6000000</v>
      </c>
      <c r="G19" s="1">
        <f t="shared" si="1"/>
        <v>600000</v>
      </c>
      <c r="H19" s="1">
        <f t="shared" si="8"/>
        <v>6600000</v>
      </c>
    </row>
    <row r="20" spans="1:8" x14ac:dyDescent="0.2">
      <c r="A20" s="58">
        <v>18</v>
      </c>
      <c r="B20" s="62" t="s">
        <v>13</v>
      </c>
      <c r="C20" s="58" t="s">
        <v>12</v>
      </c>
      <c r="D20" s="59">
        <v>4</v>
      </c>
      <c r="E20" s="60">
        <v>2000000</v>
      </c>
      <c r="F20" s="1">
        <f t="shared" si="7"/>
        <v>8000000</v>
      </c>
      <c r="G20" s="1">
        <f t="shared" si="1"/>
        <v>800000</v>
      </c>
      <c r="H20" s="1">
        <f t="shared" si="8"/>
        <v>8800000</v>
      </c>
    </row>
    <row r="21" spans="1:8" x14ac:dyDescent="0.2">
      <c r="A21" s="58">
        <v>19</v>
      </c>
      <c r="B21" s="62" t="s">
        <v>14</v>
      </c>
      <c r="C21" s="58" t="s">
        <v>9</v>
      </c>
      <c r="D21" s="59">
        <v>5</v>
      </c>
      <c r="E21" s="60">
        <v>250000</v>
      </c>
      <c r="F21" s="1">
        <f t="shared" si="7"/>
        <v>1250000</v>
      </c>
      <c r="G21" s="1">
        <f t="shared" si="1"/>
        <v>125000</v>
      </c>
      <c r="H21" s="1">
        <f t="shared" si="8"/>
        <v>1375000</v>
      </c>
    </row>
    <row r="22" spans="1:8" x14ac:dyDescent="0.2">
      <c r="A22" s="58">
        <v>20</v>
      </c>
      <c r="B22" s="62" t="s">
        <v>15</v>
      </c>
      <c r="C22" s="58" t="s">
        <v>12</v>
      </c>
      <c r="D22" s="59">
        <v>5</v>
      </c>
      <c r="E22" s="60">
        <v>6000000</v>
      </c>
      <c r="F22" s="1">
        <f t="shared" si="7"/>
        <v>30000000</v>
      </c>
      <c r="G22" s="1">
        <f t="shared" si="1"/>
        <v>3000000</v>
      </c>
      <c r="H22" s="1">
        <f t="shared" si="8"/>
        <v>33000000</v>
      </c>
    </row>
    <row r="23" spans="1:8" x14ac:dyDescent="0.2">
      <c r="A23" s="58">
        <v>21</v>
      </c>
      <c r="B23" s="62" t="s">
        <v>16</v>
      </c>
      <c r="C23" s="58" t="s">
        <v>9</v>
      </c>
      <c r="D23" s="59">
        <v>1</v>
      </c>
      <c r="E23" s="60">
        <v>4000000</v>
      </c>
      <c r="F23" s="1">
        <f t="shared" si="7"/>
        <v>4000000</v>
      </c>
      <c r="G23" s="1">
        <f t="shared" si="1"/>
        <v>400000</v>
      </c>
      <c r="H23" s="1">
        <f t="shared" si="8"/>
        <v>4400000</v>
      </c>
    </row>
    <row r="24" spans="1:8" x14ac:dyDescent="0.2">
      <c r="A24" s="58">
        <v>22</v>
      </c>
      <c r="B24" s="62" t="s">
        <v>17</v>
      </c>
      <c r="C24" s="58" t="s">
        <v>9</v>
      </c>
      <c r="D24" s="59">
        <v>1</v>
      </c>
      <c r="E24" s="60">
        <v>3500000</v>
      </c>
      <c r="F24" s="1">
        <f t="shared" si="7"/>
        <v>3500000</v>
      </c>
      <c r="G24" s="1">
        <f t="shared" si="1"/>
        <v>350000</v>
      </c>
      <c r="H24" s="1">
        <f t="shared" si="8"/>
        <v>3850000</v>
      </c>
    </row>
    <row r="25" spans="1:8" x14ac:dyDescent="0.2">
      <c r="A25" s="58">
        <v>23</v>
      </c>
      <c r="B25" s="62" t="s">
        <v>18</v>
      </c>
      <c r="C25" s="58" t="s">
        <v>9</v>
      </c>
      <c r="D25" s="59">
        <v>1</v>
      </c>
      <c r="E25" s="60">
        <v>6500000</v>
      </c>
      <c r="F25" s="1">
        <f t="shared" si="7"/>
        <v>6500000</v>
      </c>
      <c r="G25" s="1">
        <f t="shared" si="1"/>
        <v>650000</v>
      </c>
      <c r="H25" s="1">
        <f t="shared" si="8"/>
        <v>7150000</v>
      </c>
    </row>
    <row r="26" spans="1:8" x14ac:dyDescent="0.2">
      <c r="A26" s="58">
        <v>24</v>
      </c>
      <c r="B26" s="62" t="s">
        <v>19</v>
      </c>
      <c r="C26" s="58" t="s">
        <v>9</v>
      </c>
      <c r="D26" s="59">
        <v>5</v>
      </c>
      <c r="E26" s="60">
        <v>200000</v>
      </c>
      <c r="F26" s="1">
        <f t="shared" si="7"/>
        <v>1000000</v>
      </c>
      <c r="G26" s="1">
        <f t="shared" si="1"/>
        <v>100000</v>
      </c>
      <c r="H26" s="1">
        <f t="shared" si="8"/>
        <v>1100000</v>
      </c>
    </row>
    <row r="27" spans="1:8" x14ac:dyDescent="0.2">
      <c r="A27" s="58">
        <v>25</v>
      </c>
      <c r="B27" s="62" t="s">
        <v>20</v>
      </c>
      <c r="C27" s="58" t="s">
        <v>9</v>
      </c>
      <c r="D27" s="59">
        <v>4</v>
      </c>
      <c r="E27" s="60">
        <v>1000000</v>
      </c>
      <c r="F27" s="1">
        <f t="shared" si="7"/>
        <v>4000000</v>
      </c>
      <c r="G27" s="1">
        <f t="shared" si="1"/>
        <v>400000</v>
      </c>
      <c r="H27" s="1">
        <f t="shared" si="8"/>
        <v>4400000</v>
      </c>
    </row>
    <row r="28" spans="1:8" x14ac:dyDescent="0.2">
      <c r="A28" s="58">
        <v>26</v>
      </c>
      <c r="B28" s="62" t="s">
        <v>21</v>
      </c>
      <c r="C28" s="58" t="s">
        <v>9</v>
      </c>
      <c r="D28" s="59">
        <v>3</v>
      </c>
      <c r="E28" s="60">
        <v>500000</v>
      </c>
      <c r="F28" s="1">
        <f t="shared" si="7"/>
        <v>1500000</v>
      </c>
      <c r="G28" s="1">
        <f t="shared" si="1"/>
        <v>150000</v>
      </c>
      <c r="H28" s="1">
        <f t="shared" si="8"/>
        <v>1650000</v>
      </c>
    </row>
    <row r="29" spans="1:8" x14ac:dyDescent="0.2">
      <c r="A29" s="58">
        <v>27</v>
      </c>
      <c r="B29" s="62" t="s">
        <v>22</v>
      </c>
      <c r="C29" s="58" t="s">
        <v>9</v>
      </c>
      <c r="D29" s="59">
        <v>5</v>
      </c>
      <c r="E29" s="60">
        <v>70000</v>
      </c>
      <c r="F29" s="1">
        <f t="shared" si="7"/>
        <v>350000</v>
      </c>
      <c r="G29" s="1">
        <f t="shared" si="1"/>
        <v>35000</v>
      </c>
      <c r="H29" s="1">
        <f t="shared" si="8"/>
        <v>385000</v>
      </c>
    </row>
    <row r="30" spans="1:8" x14ac:dyDescent="0.2">
      <c r="A30" s="58">
        <v>28</v>
      </c>
      <c r="B30" s="61" t="s">
        <v>23</v>
      </c>
      <c r="C30" s="6" t="s">
        <v>9</v>
      </c>
      <c r="D30" s="8">
        <v>3</v>
      </c>
      <c r="E30" s="1">
        <v>200000</v>
      </c>
      <c r="F30" s="1">
        <f t="shared" si="7"/>
        <v>600000</v>
      </c>
      <c r="G30" s="1">
        <f t="shared" si="1"/>
        <v>60000</v>
      </c>
      <c r="H30" s="1">
        <f t="shared" si="8"/>
        <v>660000</v>
      </c>
    </row>
    <row r="31" spans="1:8" x14ac:dyDescent="0.2">
      <c r="A31" s="58">
        <v>29</v>
      </c>
      <c r="B31" s="61" t="s">
        <v>24</v>
      </c>
      <c r="C31" s="6" t="s">
        <v>12</v>
      </c>
      <c r="D31" s="8">
        <v>1</v>
      </c>
      <c r="E31" s="1">
        <v>5000000</v>
      </c>
      <c r="F31" s="1">
        <f t="shared" si="7"/>
        <v>5000000</v>
      </c>
      <c r="G31" s="1">
        <f t="shared" si="1"/>
        <v>500000</v>
      </c>
      <c r="H31" s="1">
        <f t="shared" si="8"/>
        <v>5500000</v>
      </c>
    </row>
    <row r="32" spans="1:8" x14ac:dyDescent="0.2">
      <c r="A32" s="58"/>
      <c r="B32" s="61" t="s">
        <v>25</v>
      </c>
      <c r="C32" s="6"/>
      <c r="D32" s="61"/>
      <c r="E32" s="61"/>
      <c r="F32" s="9">
        <f>F16+F4</f>
        <v>123616700000</v>
      </c>
      <c r="G32" s="9">
        <f>G16+G4</f>
        <v>12361670000</v>
      </c>
      <c r="H32" s="9">
        <f>H16+H4</f>
        <v>135978370000</v>
      </c>
    </row>
    <row r="36" spans="1:14" s="67" customFormat="1" x14ac:dyDescent="0.2">
      <c r="A36" s="54" t="s">
        <v>70</v>
      </c>
      <c r="B36" s="2" t="s">
        <v>112</v>
      </c>
      <c r="C36" s="2"/>
      <c r="D36" s="2"/>
      <c r="E36" s="68" t="s">
        <v>129</v>
      </c>
      <c r="F36" s="68"/>
      <c r="G36" s="68" t="s">
        <v>130</v>
      </c>
      <c r="H36" s="68" t="s">
        <v>69</v>
      </c>
    </row>
    <row r="37" spans="1:14" x14ac:dyDescent="0.2">
      <c r="A37" s="58">
        <v>2</v>
      </c>
      <c r="B37" s="5" t="s">
        <v>114</v>
      </c>
      <c r="C37" s="6" t="s">
        <v>113</v>
      </c>
      <c r="D37" s="8">
        <v>5</v>
      </c>
      <c r="E37" s="60">
        <v>1562.5</v>
      </c>
      <c r="F37" s="63" t="s">
        <v>128</v>
      </c>
      <c r="G37" s="64">
        <v>350</v>
      </c>
      <c r="H37" s="63"/>
      <c r="K37" s="56"/>
      <c r="L37" s="56"/>
      <c r="M37" s="56"/>
      <c r="N37" s="56"/>
    </row>
    <row r="38" spans="1:14" x14ac:dyDescent="0.2">
      <c r="A38" s="58">
        <v>4</v>
      </c>
      <c r="B38" s="5" t="s">
        <v>115</v>
      </c>
      <c r="C38" s="6" t="s">
        <v>113</v>
      </c>
      <c r="D38" s="8">
        <v>4</v>
      </c>
      <c r="E38" s="60"/>
      <c r="F38" s="63"/>
      <c r="G38" s="64"/>
      <c r="H38" s="63"/>
      <c r="K38" s="56"/>
      <c r="L38" s="56"/>
      <c r="M38" s="56"/>
      <c r="N38" s="56"/>
    </row>
    <row r="39" spans="1:14" x14ac:dyDescent="0.2">
      <c r="A39" s="58">
        <v>5</v>
      </c>
      <c r="B39" s="5" t="s">
        <v>116</v>
      </c>
      <c r="C39" s="6" t="s">
        <v>117</v>
      </c>
      <c r="D39" s="60">
        <v>16</v>
      </c>
      <c r="F39" s="63"/>
      <c r="G39" s="64">
        <v>2.5</v>
      </c>
      <c r="H39" s="63"/>
      <c r="K39" s="56"/>
      <c r="L39" s="56"/>
      <c r="M39" s="56"/>
      <c r="N39" s="56"/>
    </row>
    <row r="40" spans="1:14" x14ac:dyDescent="0.2">
      <c r="A40" s="58">
        <v>6</v>
      </c>
      <c r="B40" s="5" t="s">
        <v>118</v>
      </c>
      <c r="C40" s="6" t="s">
        <v>117</v>
      </c>
      <c r="D40" s="60">
        <v>50</v>
      </c>
      <c r="F40" s="63"/>
      <c r="G40" s="65"/>
      <c r="H40" s="63"/>
      <c r="K40" s="56"/>
      <c r="L40" s="56"/>
      <c r="M40" s="56"/>
      <c r="N40" s="56"/>
    </row>
    <row r="41" spans="1:14" x14ac:dyDescent="0.2">
      <c r="A41" s="58">
        <v>7</v>
      </c>
      <c r="B41" s="5" t="s">
        <v>119</v>
      </c>
      <c r="C41" s="6" t="s">
        <v>117</v>
      </c>
      <c r="D41" s="60">
        <v>3</v>
      </c>
      <c r="F41" s="63"/>
      <c r="G41" s="64"/>
      <c r="H41" s="63"/>
      <c r="K41" s="56"/>
      <c r="L41" s="56"/>
      <c r="M41" s="56"/>
      <c r="N41" s="56"/>
    </row>
    <row r="42" spans="1:14" x14ac:dyDescent="0.2">
      <c r="A42" s="58">
        <v>8</v>
      </c>
      <c r="B42" s="5" t="s">
        <v>120</v>
      </c>
      <c r="C42" s="6" t="s">
        <v>117</v>
      </c>
      <c r="D42" s="60">
        <v>6</v>
      </c>
      <c r="F42" s="63"/>
      <c r="G42" s="64"/>
      <c r="H42" s="63"/>
      <c r="K42" s="56"/>
      <c r="L42" s="56"/>
      <c r="M42" s="56"/>
      <c r="N42" s="56"/>
    </row>
    <row r="43" spans="1:14" x14ac:dyDescent="0.2">
      <c r="A43" s="58">
        <v>9</v>
      </c>
      <c r="B43" s="5" t="s">
        <v>121</v>
      </c>
      <c r="C43" s="6" t="s">
        <v>117</v>
      </c>
      <c r="D43" s="60">
        <v>3</v>
      </c>
      <c r="F43" s="63"/>
      <c r="G43" s="64"/>
      <c r="H43" s="63"/>
      <c r="K43" s="56"/>
      <c r="L43" s="56"/>
      <c r="M43" s="56"/>
      <c r="N43" s="56"/>
    </row>
    <row r="44" spans="1:14" x14ac:dyDescent="0.2">
      <c r="A44" s="58">
        <v>10</v>
      </c>
      <c r="B44" s="5" t="s">
        <v>122</v>
      </c>
      <c r="C44" s="6" t="s">
        <v>117</v>
      </c>
      <c r="D44" s="60">
        <v>9</v>
      </c>
      <c r="F44" s="63"/>
      <c r="G44" s="64"/>
      <c r="H44" s="63"/>
      <c r="K44" s="56"/>
      <c r="L44" s="56"/>
      <c r="M44" s="56"/>
      <c r="N44" s="56"/>
    </row>
    <row r="45" spans="1:14" x14ac:dyDescent="0.2">
      <c r="A45" s="58">
        <v>11</v>
      </c>
      <c r="B45" s="5" t="s">
        <v>123</v>
      </c>
      <c r="C45" s="6" t="s">
        <v>124</v>
      </c>
      <c r="D45" s="60">
        <v>4</v>
      </c>
      <c r="F45" s="63"/>
      <c r="G45" s="64"/>
      <c r="H45" s="63"/>
      <c r="K45" s="56"/>
      <c r="L45" s="56"/>
      <c r="M45" s="56"/>
      <c r="N45" s="56"/>
    </row>
    <row r="46" spans="1:14" x14ac:dyDescent="0.2">
      <c r="A46" s="58">
        <v>12</v>
      </c>
      <c r="B46" s="5" t="s">
        <v>125</v>
      </c>
      <c r="C46" s="58" t="s">
        <v>117</v>
      </c>
      <c r="D46" s="60">
        <v>2</v>
      </c>
      <c r="F46" s="63"/>
      <c r="G46" s="64"/>
      <c r="H46" s="63"/>
      <c r="K46" s="56"/>
      <c r="L46" s="56"/>
      <c r="M46" s="56"/>
      <c r="N46" s="56"/>
    </row>
    <row r="47" spans="1:14" x14ac:dyDescent="0.2">
      <c r="A47" s="58">
        <v>14</v>
      </c>
      <c r="B47" s="61" t="s">
        <v>126</v>
      </c>
      <c r="C47" s="58" t="s">
        <v>117</v>
      </c>
      <c r="D47" s="59">
        <v>1</v>
      </c>
      <c r="E47" s="60"/>
      <c r="F47" s="63"/>
      <c r="G47" s="63"/>
      <c r="H47" s="63"/>
      <c r="K47" s="56"/>
      <c r="L47" s="56"/>
      <c r="M47" s="56"/>
      <c r="N47" s="56"/>
    </row>
    <row r="48" spans="1:14" x14ac:dyDescent="0.2">
      <c r="E48" s="57"/>
      <c r="F48" s="57"/>
      <c r="G48" s="57"/>
      <c r="H48" s="57"/>
      <c r="K48" s="56"/>
      <c r="L48" s="56"/>
      <c r="M48" s="56"/>
      <c r="N48" s="56"/>
    </row>
    <row r="50" spans="2:3" x14ac:dyDescent="0.2">
      <c r="B50" s="149" t="s">
        <v>190</v>
      </c>
    </row>
    <row r="52" spans="2:3" x14ac:dyDescent="0.2">
      <c r="C52" s="147">
        <v>3000000</v>
      </c>
    </row>
    <row r="53" spans="2:3" x14ac:dyDescent="0.2">
      <c r="C53" s="147">
        <f>C52*1.475</f>
        <v>4425000</v>
      </c>
    </row>
    <row r="54" spans="2:3" x14ac:dyDescent="0.2">
      <c r="B54" s="56" t="s">
        <v>183</v>
      </c>
      <c r="C54" s="56">
        <v>20</v>
      </c>
    </row>
    <row r="55" spans="2:3" x14ac:dyDescent="0.2">
      <c r="B55" s="56" t="s">
        <v>75</v>
      </c>
      <c r="C55" s="56">
        <v>8</v>
      </c>
    </row>
    <row r="56" spans="2:3" x14ac:dyDescent="0.2">
      <c r="B56" s="56" t="s">
        <v>184</v>
      </c>
      <c r="C56" s="56">
        <v>2</v>
      </c>
    </row>
    <row r="57" spans="2:3" x14ac:dyDescent="0.2">
      <c r="B57" s="56" t="s">
        <v>185</v>
      </c>
      <c r="C57" s="56">
        <v>312</v>
      </c>
    </row>
    <row r="58" spans="2:3" x14ac:dyDescent="0.2">
      <c r="B58" s="56" t="s">
        <v>188</v>
      </c>
      <c r="C58" s="56">
        <v>0.8</v>
      </c>
    </row>
    <row r="59" spans="2:3" x14ac:dyDescent="0.2">
      <c r="B59" s="56" t="s">
        <v>189</v>
      </c>
      <c r="C59" s="56">
        <f>C54*C55*C56*C57*C58</f>
        <v>79872</v>
      </c>
    </row>
    <row r="60" spans="2:3" x14ac:dyDescent="0.2">
      <c r="B60" s="56" t="s">
        <v>186</v>
      </c>
      <c r="C60" s="56">
        <f>C52/(C59*7.8*2)</f>
        <v>2.4076984714003946</v>
      </c>
    </row>
    <row r="61" spans="2:3" x14ac:dyDescent="0.2">
      <c r="B61" s="56" t="s">
        <v>187</v>
      </c>
    </row>
    <row r="62" spans="2:3" x14ac:dyDescent="0.2">
      <c r="B62" s="56" t="s">
        <v>184</v>
      </c>
    </row>
    <row r="63" spans="2:3" x14ac:dyDescent="0.2">
      <c r="B63" s="149" t="s">
        <v>191</v>
      </c>
    </row>
    <row r="64" spans="2:3" x14ac:dyDescent="0.2">
      <c r="B64" s="56" t="s">
        <v>192</v>
      </c>
      <c r="C64" s="147">
        <f>C52*5%</f>
        <v>150000</v>
      </c>
    </row>
    <row r="65" spans="2:4" x14ac:dyDescent="0.2">
      <c r="B65" s="56" t="s">
        <v>194</v>
      </c>
      <c r="C65" s="56">
        <v>15</v>
      </c>
    </row>
    <row r="66" spans="2:4" x14ac:dyDescent="0.2">
      <c r="B66" s="56" t="s">
        <v>195</v>
      </c>
      <c r="C66" s="56">
        <v>0.9</v>
      </c>
    </row>
    <row r="67" spans="2:4" x14ac:dyDescent="0.2">
      <c r="B67" s="56" t="s">
        <v>185</v>
      </c>
      <c r="C67" s="56">
        <v>312</v>
      </c>
    </row>
    <row r="68" spans="2:4" x14ac:dyDescent="0.2">
      <c r="B68" s="56" t="s">
        <v>196</v>
      </c>
      <c r="C68" s="56">
        <v>2.2000000000000002</v>
      </c>
    </row>
    <row r="69" spans="2:4" x14ac:dyDescent="0.2">
      <c r="B69" s="56" t="s">
        <v>184</v>
      </c>
      <c r="C69" s="56">
        <v>2</v>
      </c>
    </row>
    <row r="70" spans="2:4" x14ac:dyDescent="0.2">
      <c r="B70" s="56" t="s">
        <v>193</v>
      </c>
      <c r="C70" s="56">
        <f>C64/(C65*C66*C67*C68*C69)</f>
        <v>8.0937580937580922</v>
      </c>
    </row>
    <row r="72" spans="2:4" ht="13.5" x14ac:dyDescent="0.25">
      <c r="B72" s="150" t="s">
        <v>197</v>
      </c>
      <c r="C72" s="147">
        <f>C53</f>
        <v>4425000</v>
      </c>
    </row>
    <row r="74" spans="2:4" ht="15.75" x14ac:dyDescent="0.2">
      <c r="B74" s="151" t="s">
        <v>207</v>
      </c>
    </row>
    <row r="76" spans="2:4" x14ac:dyDescent="0.2">
      <c r="B76" s="56" t="s">
        <v>77</v>
      </c>
      <c r="C76" s="56">
        <v>2.5</v>
      </c>
    </row>
    <row r="77" spans="2:4" x14ac:dyDescent="0.2">
      <c r="B77" s="56" t="s">
        <v>198</v>
      </c>
      <c r="C77" s="56">
        <v>0.85</v>
      </c>
    </row>
    <row r="78" spans="2:4" x14ac:dyDescent="0.2">
      <c r="B78" s="56" t="s">
        <v>75</v>
      </c>
      <c r="C78" s="56">
        <v>8</v>
      </c>
    </row>
    <row r="79" spans="2:4" x14ac:dyDescent="0.2">
      <c r="B79" s="56" t="s">
        <v>188</v>
      </c>
      <c r="C79" s="56">
        <v>0.8</v>
      </c>
    </row>
    <row r="80" spans="2:4" x14ac:dyDescent="0.2">
      <c r="B80" s="56" t="s">
        <v>199</v>
      </c>
      <c r="C80" s="56">
        <v>45</v>
      </c>
      <c r="D80" s="66" t="s">
        <v>201</v>
      </c>
    </row>
    <row r="81" spans="2:4" x14ac:dyDescent="0.2">
      <c r="B81" s="56" t="s">
        <v>200</v>
      </c>
      <c r="C81" s="56">
        <v>1.5</v>
      </c>
    </row>
    <row r="82" spans="2:4" x14ac:dyDescent="0.2">
      <c r="C82" s="56">
        <f>3600*C76*C77*C78*C79/(C80*C81)</f>
        <v>725.33333333333337</v>
      </c>
    </row>
    <row r="83" spans="2:4" ht="14.25" x14ac:dyDescent="0.25">
      <c r="B83" s="56" t="s">
        <v>202</v>
      </c>
      <c r="C83" s="56" t="s">
        <v>208</v>
      </c>
    </row>
    <row r="84" spans="2:4" x14ac:dyDescent="0.2">
      <c r="B84" s="56" t="s">
        <v>203</v>
      </c>
      <c r="C84" s="56">
        <f>C82*C85*C86</f>
        <v>452608</v>
      </c>
    </row>
    <row r="85" spans="2:4" x14ac:dyDescent="0.2">
      <c r="B85" s="56" t="s">
        <v>204</v>
      </c>
      <c r="C85" s="56">
        <v>312</v>
      </c>
    </row>
    <row r="86" spans="2:4" x14ac:dyDescent="0.2">
      <c r="B86" s="56" t="s">
        <v>205</v>
      </c>
      <c r="C86" s="56">
        <v>2</v>
      </c>
    </row>
    <row r="90" spans="2:4" x14ac:dyDescent="0.2">
      <c r="B90" s="56" t="s">
        <v>74</v>
      </c>
      <c r="C90" s="56">
        <f>C72*1.1/C84</f>
        <v>10.75433929581448</v>
      </c>
      <c r="D90" s="148">
        <v>11</v>
      </c>
    </row>
    <row r="92" spans="2:4" ht="13.5" x14ac:dyDescent="0.2">
      <c r="B92" s="152" t="s">
        <v>206</v>
      </c>
      <c r="C92" s="147">
        <f>CS!E14</f>
        <v>1600000</v>
      </c>
    </row>
    <row r="93" spans="2:4" x14ac:dyDescent="0.2">
      <c r="C93" s="147">
        <f>C92*1.26</f>
        <v>2016000</v>
      </c>
    </row>
    <row r="94" spans="2:4" x14ac:dyDescent="0.2">
      <c r="B94" s="56" t="s">
        <v>77</v>
      </c>
      <c r="C94" s="56">
        <v>2.5</v>
      </c>
    </row>
    <row r="95" spans="2:4" x14ac:dyDescent="0.2">
      <c r="B95" s="56" t="s">
        <v>198</v>
      </c>
      <c r="C95" s="56">
        <v>0.85</v>
      </c>
    </row>
    <row r="96" spans="2:4" x14ac:dyDescent="0.2">
      <c r="B96" s="56" t="s">
        <v>75</v>
      </c>
      <c r="C96" s="56">
        <v>8</v>
      </c>
    </row>
    <row r="97" spans="2:4" x14ac:dyDescent="0.2">
      <c r="B97" s="56" t="s">
        <v>188</v>
      </c>
      <c r="C97" s="56">
        <v>0.8</v>
      </c>
    </row>
    <row r="98" spans="2:4" x14ac:dyDescent="0.2">
      <c r="B98" s="56" t="s">
        <v>199</v>
      </c>
      <c r="C98" s="56">
        <v>40</v>
      </c>
    </row>
    <row r="99" spans="2:4" x14ac:dyDescent="0.2">
      <c r="B99" s="56" t="s">
        <v>200</v>
      </c>
      <c r="C99" s="56">
        <v>1.5</v>
      </c>
    </row>
    <row r="100" spans="2:4" x14ac:dyDescent="0.2">
      <c r="C100" s="56">
        <f>3600*C94*C95*C96*C97/(C98*C99)</f>
        <v>816</v>
      </c>
    </row>
    <row r="101" spans="2:4" ht="14.25" x14ac:dyDescent="0.25">
      <c r="B101" s="56" t="s">
        <v>202</v>
      </c>
      <c r="C101" s="56" t="s">
        <v>208</v>
      </c>
    </row>
    <row r="102" spans="2:4" x14ac:dyDescent="0.2">
      <c r="B102" s="56" t="s">
        <v>203</v>
      </c>
      <c r="C102" s="56">
        <f>C100*C103*C104</f>
        <v>509184</v>
      </c>
    </row>
    <row r="103" spans="2:4" x14ac:dyDescent="0.2">
      <c r="B103" s="56" t="s">
        <v>204</v>
      </c>
      <c r="C103" s="56">
        <v>312</v>
      </c>
    </row>
    <row r="104" spans="2:4" x14ac:dyDescent="0.2">
      <c r="B104" s="56" t="s">
        <v>205</v>
      </c>
      <c r="C104" s="56">
        <v>2</v>
      </c>
    </row>
    <row r="105" spans="2:4" x14ac:dyDescent="0.2">
      <c r="B105" s="56" t="s">
        <v>74</v>
      </c>
      <c r="C105" s="56">
        <f>C93*1.1/C102</f>
        <v>4.3552036199095019</v>
      </c>
      <c r="D105" s="148">
        <v>5</v>
      </c>
    </row>
    <row r="107" spans="2:4" ht="15.75" x14ac:dyDescent="0.2">
      <c r="B107" s="152" t="s">
        <v>223</v>
      </c>
      <c r="C107" s="147">
        <f>C52</f>
        <v>3000000</v>
      </c>
    </row>
    <row r="108" spans="2:4" x14ac:dyDescent="0.2">
      <c r="C108" s="147">
        <f>C53</f>
        <v>4425000</v>
      </c>
    </row>
    <row r="109" spans="2:4" x14ac:dyDescent="0.2">
      <c r="B109" s="56" t="s">
        <v>209</v>
      </c>
    </row>
    <row r="110" spans="2:4" x14ac:dyDescent="0.2">
      <c r="B110" s="56" t="s">
        <v>77</v>
      </c>
      <c r="C110" s="56">
        <v>5</v>
      </c>
    </row>
    <row r="111" spans="2:4" x14ac:dyDescent="0.2">
      <c r="B111" s="56" t="s">
        <v>73</v>
      </c>
      <c r="C111" s="56">
        <v>60</v>
      </c>
    </row>
    <row r="112" spans="2:4" x14ac:dyDescent="0.2">
      <c r="B112" s="56" t="s">
        <v>210</v>
      </c>
      <c r="C112" s="56">
        <v>0</v>
      </c>
    </row>
    <row r="113" spans="2:4" x14ac:dyDescent="0.2">
      <c r="C113" s="56">
        <f>3600*C110/C111</f>
        <v>300</v>
      </c>
    </row>
    <row r="116" spans="2:4" x14ac:dyDescent="0.2">
      <c r="B116" s="56" t="s">
        <v>211</v>
      </c>
      <c r="C116" s="147">
        <f>C113*8*0.85</f>
        <v>2040</v>
      </c>
    </row>
    <row r="117" spans="2:4" x14ac:dyDescent="0.2">
      <c r="B117" s="56" t="s">
        <v>212</v>
      </c>
      <c r="C117" s="147">
        <f>C116*C118*C119</f>
        <v>1272960</v>
      </c>
    </row>
    <row r="118" spans="2:4" x14ac:dyDescent="0.2">
      <c r="B118" s="56" t="s">
        <v>213</v>
      </c>
      <c r="C118" s="147">
        <v>312</v>
      </c>
    </row>
    <row r="119" spans="2:4" x14ac:dyDescent="0.2">
      <c r="B119" s="56" t="s">
        <v>214</v>
      </c>
      <c r="C119" s="147">
        <v>2</v>
      </c>
    </row>
    <row r="120" spans="2:4" ht="13.5" x14ac:dyDescent="0.25">
      <c r="B120" s="153" t="s">
        <v>215</v>
      </c>
    </row>
    <row r="122" spans="2:4" x14ac:dyDescent="0.2">
      <c r="B122" s="56" t="s">
        <v>76</v>
      </c>
      <c r="C122" s="56">
        <f>C108*1.5*1.1/C117</f>
        <v>5.7356476244343897</v>
      </c>
      <c r="D122" s="148">
        <v>6</v>
      </c>
    </row>
    <row r="124" spans="2:4" x14ac:dyDescent="0.2">
      <c r="B124" s="149" t="s">
        <v>216</v>
      </c>
    </row>
    <row r="128" spans="2:4" x14ac:dyDescent="0.2">
      <c r="B128" s="56" t="s">
        <v>217</v>
      </c>
      <c r="C128" s="56">
        <v>30</v>
      </c>
    </row>
    <row r="129" spans="2:3" x14ac:dyDescent="0.2">
      <c r="B129" s="56" t="s">
        <v>218</v>
      </c>
      <c r="C129" s="56">
        <v>8</v>
      </c>
    </row>
    <row r="130" spans="2:3" ht="14.25" x14ac:dyDescent="0.25">
      <c r="B130" s="56" t="s">
        <v>224</v>
      </c>
      <c r="C130" s="56">
        <v>0.8</v>
      </c>
    </row>
    <row r="131" spans="2:3" x14ac:dyDescent="0.2">
      <c r="B131" s="56" t="s">
        <v>219</v>
      </c>
      <c r="C131" s="56">
        <v>2</v>
      </c>
    </row>
    <row r="132" spans="2:3" ht="14.25" x14ac:dyDescent="0.25">
      <c r="B132" s="56" t="s">
        <v>225</v>
      </c>
      <c r="C132" s="56">
        <v>0.7</v>
      </c>
    </row>
    <row r="133" spans="2:3" ht="14.25" x14ac:dyDescent="0.25">
      <c r="B133" s="56" t="s">
        <v>226</v>
      </c>
      <c r="C133" s="146">
        <f>C144+C140+C141+C142+C143+60*10</f>
        <v>1178.1538461538462</v>
      </c>
    </row>
    <row r="134" spans="2:3" ht="14.25" x14ac:dyDescent="0.25">
      <c r="B134" s="56" t="s">
        <v>226</v>
      </c>
    </row>
    <row r="136" spans="2:3" ht="14.25" x14ac:dyDescent="0.25">
      <c r="B136" s="56" t="s">
        <v>227</v>
      </c>
      <c r="C136" s="146">
        <v>2.6</v>
      </c>
    </row>
    <row r="137" spans="2:3" x14ac:dyDescent="0.2">
      <c r="B137" s="56" t="s">
        <v>220</v>
      </c>
      <c r="C137" s="146">
        <v>2.5</v>
      </c>
    </row>
    <row r="138" spans="2:3" ht="14.25" x14ac:dyDescent="0.25">
      <c r="B138" s="56" t="s">
        <v>228</v>
      </c>
      <c r="C138" s="146">
        <v>0.8</v>
      </c>
    </row>
    <row r="139" spans="2:3" ht="14.25" x14ac:dyDescent="0.25">
      <c r="B139" s="56" t="s">
        <v>229</v>
      </c>
      <c r="C139" s="146">
        <v>1.5</v>
      </c>
    </row>
    <row r="140" spans="2:3" ht="14.25" x14ac:dyDescent="0.25">
      <c r="B140" s="56" t="s">
        <v>230</v>
      </c>
      <c r="C140" s="146">
        <v>40</v>
      </c>
    </row>
    <row r="141" spans="2:3" ht="14.25" x14ac:dyDescent="0.25">
      <c r="B141" s="56" t="s">
        <v>231</v>
      </c>
      <c r="C141" s="146">
        <v>60</v>
      </c>
    </row>
    <row r="142" spans="2:3" ht="14.25" x14ac:dyDescent="0.25">
      <c r="B142" s="56" t="s">
        <v>232</v>
      </c>
      <c r="C142" s="146">
        <v>72</v>
      </c>
    </row>
    <row r="143" spans="2:3" ht="14.25" x14ac:dyDescent="0.25">
      <c r="B143" s="56" t="s">
        <v>233</v>
      </c>
      <c r="C143" s="146">
        <v>60</v>
      </c>
    </row>
    <row r="144" spans="2:3" x14ac:dyDescent="0.2">
      <c r="B144" s="56" t="s">
        <v>221</v>
      </c>
      <c r="C144" s="146">
        <f>(C128*C139*C140)/(C136*C137*C138)</f>
        <v>346.15384615384613</v>
      </c>
    </row>
    <row r="145" spans="1:6" x14ac:dyDescent="0.2">
      <c r="B145" s="56" t="s">
        <v>222</v>
      </c>
      <c r="C145" s="146">
        <f>C133</f>
        <v>1178.1538461538462</v>
      </c>
    </row>
    <row r="146" spans="1:6" x14ac:dyDescent="0.2">
      <c r="B146" s="56" t="s">
        <v>234</v>
      </c>
      <c r="C146" s="146">
        <f>3600*C128*C129*C130*C131*C132/C145</f>
        <v>821.35283363802546</v>
      </c>
    </row>
    <row r="147" spans="1:6" x14ac:dyDescent="0.2">
      <c r="B147" s="56" t="s">
        <v>235</v>
      </c>
      <c r="C147" s="146">
        <f>C108*2.6*1.1/C146/312</f>
        <v>49.384988203347589</v>
      </c>
    </row>
    <row r="148" spans="1:6" x14ac:dyDescent="0.2">
      <c r="C148" s="146"/>
    </row>
    <row r="149" spans="1:6" ht="38.25" x14ac:dyDescent="0.2">
      <c r="A149" s="4" t="s">
        <v>80</v>
      </c>
      <c r="B149" s="4" t="s">
        <v>236</v>
      </c>
      <c r="C149" s="4" t="s">
        <v>237</v>
      </c>
      <c r="D149" s="4" t="s">
        <v>238</v>
      </c>
      <c r="E149" s="4" t="s">
        <v>239</v>
      </c>
      <c r="F149" s="4" t="s">
        <v>240</v>
      </c>
    </row>
    <row r="150" spans="1:6" ht="15.75" x14ac:dyDescent="0.2">
      <c r="A150" s="4">
        <v>1</v>
      </c>
      <c r="B150" s="4" t="s">
        <v>244</v>
      </c>
      <c r="C150" s="4" t="s">
        <v>245</v>
      </c>
      <c r="D150" s="4" t="s">
        <v>241</v>
      </c>
      <c r="E150" s="4" t="s">
        <v>242</v>
      </c>
      <c r="F150" s="4" t="s">
        <v>243</v>
      </c>
    </row>
    <row r="151" spans="1:6" x14ac:dyDescent="0.2">
      <c r="A151" s="4">
        <v>2</v>
      </c>
      <c r="B151" s="154">
        <v>3000000</v>
      </c>
      <c r="C151" s="4">
        <v>2.6</v>
      </c>
      <c r="D151" s="154">
        <f>B151*C151</f>
        <v>7800000</v>
      </c>
      <c r="E151" s="154">
        <f>D151/312</f>
        <v>25000</v>
      </c>
      <c r="F151" s="155">
        <f>E151/16</f>
        <v>1562.5</v>
      </c>
    </row>
    <row r="153" spans="1:6" x14ac:dyDescent="0.2">
      <c r="B153" s="56" t="s">
        <v>246</v>
      </c>
      <c r="C153" s="56">
        <v>350</v>
      </c>
      <c r="D153" s="66">
        <f>F151/C153</f>
        <v>4.4642857142857144</v>
      </c>
      <c r="E153" s="156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E7" sqref="E7"/>
    </sheetView>
  </sheetViews>
  <sheetFormatPr defaultRowHeight="15.75" x14ac:dyDescent="0.25"/>
  <cols>
    <col min="1" max="1" width="7.140625" style="71" customWidth="1"/>
    <col min="2" max="2" width="46.7109375" style="72" customWidth="1"/>
    <col min="3" max="4" width="15.5703125" style="72" customWidth="1"/>
    <col min="5" max="5" width="19" style="70" customWidth="1"/>
    <col min="6" max="6" width="16.28515625" style="116" bestFit="1" customWidth="1"/>
    <col min="7" max="7" width="20.28515625" style="117" bestFit="1" customWidth="1"/>
    <col min="8" max="8" width="16.140625" style="70" customWidth="1"/>
    <col min="9" max="9" width="23.140625" style="70" hidden="1" customWidth="1"/>
    <col min="10" max="10" width="24.85546875" style="70" hidden="1" customWidth="1"/>
    <col min="11" max="256" width="9.140625" style="70"/>
    <col min="257" max="257" width="7.140625" style="70" customWidth="1"/>
    <col min="258" max="258" width="46.7109375" style="70" customWidth="1"/>
    <col min="259" max="260" width="15.5703125" style="70" customWidth="1"/>
    <col min="261" max="261" width="19" style="70" customWidth="1"/>
    <col min="262" max="262" width="16.28515625" style="70" bestFit="1" customWidth="1"/>
    <col min="263" max="263" width="20.28515625" style="70" bestFit="1" customWidth="1"/>
    <col min="264" max="264" width="16.140625" style="70" customWidth="1"/>
    <col min="265" max="266" width="0" style="70" hidden="1" customWidth="1"/>
    <col min="267" max="512" width="9.140625" style="70"/>
    <col min="513" max="513" width="7.140625" style="70" customWidth="1"/>
    <col min="514" max="514" width="46.7109375" style="70" customWidth="1"/>
    <col min="515" max="516" width="15.5703125" style="70" customWidth="1"/>
    <col min="517" max="517" width="19" style="70" customWidth="1"/>
    <col min="518" max="518" width="16.28515625" style="70" bestFit="1" customWidth="1"/>
    <col min="519" max="519" width="20.28515625" style="70" bestFit="1" customWidth="1"/>
    <col min="520" max="520" width="16.140625" style="70" customWidth="1"/>
    <col min="521" max="522" width="0" style="70" hidden="1" customWidth="1"/>
    <col min="523" max="768" width="9.140625" style="70"/>
    <col min="769" max="769" width="7.140625" style="70" customWidth="1"/>
    <col min="770" max="770" width="46.7109375" style="70" customWidth="1"/>
    <col min="771" max="772" width="15.5703125" style="70" customWidth="1"/>
    <col min="773" max="773" width="19" style="70" customWidth="1"/>
    <col min="774" max="774" width="16.28515625" style="70" bestFit="1" customWidth="1"/>
    <col min="775" max="775" width="20.28515625" style="70" bestFit="1" customWidth="1"/>
    <col min="776" max="776" width="16.140625" style="70" customWidth="1"/>
    <col min="777" max="778" width="0" style="70" hidden="1" customWidth="1"/>
    <col min="779" max="1024" width="9.140625" style="70"/>
    <col min="1025" max="1025" width="7.140625" style="70" customWidth="1"/>
    <col min="1026" max="1026" width="46.7109375" style="70" customWidth="1"/>
    <col min="1027" max="1028" width="15.5703125" style="70" customWidth="1"/>
    <col min="1029" max="1029" width="19" style="70" customWidth="1"/>
    <col min="1030" max="1030" width="16.28515625" style="70" bestFit="1" customWidth="1"/>
    <col min="1031" max="1031" width="20.28515625" style="70" bestFit="1" customWidth="1"/>
    <col min="1032" max="1032" width="16.140625" style="70" customWidth="1"/>
    <col min="1033" max="1034" width="0" style="70" hidden="1" customWidth="1"/>
    <col min="1035" max="1280" width="9.140625" style="70"/>
    <col min="1281" max="1281" width="7.140625" style="70" customWidth="1"/>
    <col min="1282" max="1282" width="46.7109375" style="70" customWidth="1"/>
    <col min="1283" max="1284" width="15.5703125" style="70" customWidth="1"/>
    <col min="1285" max="1285" width="19" style="70" customWidth="1"/>
    <col min="1286" max="1286" width="16.28515625" style="70" bestFit="1" customWidth="1"/>
    <col min="1287" max="1287" width="20.28515625" style="70" bestFit="1" customWidth="1"/>
    <col min="1288" max="1288" width="16.140625" style="70" customWidth="1"/>
    <col min="1289" max="1290" width="0" style="70" hidden="1" customWidth="1"/>
    <col min="1291" max="1536" width="9.140625" style="70"/>
    <col min="1537" max="1537" width="7.140625" style="70" customWidth="1"/>
    <col min="1538" max="1538" width="46.7109375" style="70" customWidth="1"/>
    <col min="1539" max="1540" width="15.5703125" style="70" customWidth="1"/>
    <col min="1541" max="1541" width="19" style="70" customWidth="1"/>
    <col min="1542" max="1542" width="16.28515625" style="70" bestFit="1" customWidth="1"/>
    <col min="1543" max="1543" width="20.28515625" style="70" bestFit="1" customWidth="1"/>
    <col min="1544" max="1544" width="16.140625" style="70" customWidth="1"/>
    <col min="1545" max="1546" width="0" style="70" hidden="1" customWidth="1"/>
    <col min="1547" max="1792" width="9.140625" style="70"/>
    <col min="1793" max="1793" width="7.140625" style="70" customWidth="1"/>
    <col min="1794" max="1794" width="46.7109375" style="70" customWidth="1"/>
    <col min="1795" max="1796" width="15.5703125" style="70" customWidth="1"/>
    <col min="1797" max="1797" width="19" style="70" customWidth="1"/>
    <col min="1798" max="1798" width="16.28515625" style="70" bestFit="1" customWidth="1"/>
    <col min="1799" max="1799" width="20.28515625" style="70" bestFit="1" customWidth="1"/>
    <col min="1800" max="1800" width="16.140625" style="70" customWidth="1"/>
    <col min="1801" max="1802" width="0" style="70" hidden="1" customWidth="1"/>
    <col min="1803" max="2048" width="9.140625" style="70"/>
    <col min="2049" max="2049" width="7.140625" style="70" customWidth="1"/>
    <col min="2050" max="2050" width="46.7109375" style="70" customWidth="1"/>
    <col min="2051" max="2052" width="15.5703125" style="70" customWidth="1"/>
    <col min="2053" max="2053" width="19" style="70" customWidth="1"/>
    <col min="2054" max="2054" width="16.28515625" style="70" bestFit="1" customWidth="1"/>
    <col min="2055" max="2055" width="20.28515625" style="70" bestFit="1" customWidth="1"/>
    <col min="2056" max="2056" width="16.140625" style="70" customWidth="1"/>
    <col min="2057" max="2058" width="0" style="70" hidden="1" customWidth="1"/>
    <col min="2059" max="2304" width="9.140625" style="70"/>
    <col min="2305" max="2305" width="7.140625" style="70" customWidth="1"/>
    <col min="2306" max="2306" width="46.7109375" style="70" customWidth="1"/>
    <col min="2307" max="2308" width="15.5703125" style="70" customWidth="1"/>
    <col min="2309" max="2309" width="19" style="70" customWidth="1"/>
    <col min="2310" max="2310" width="16.28515625" style="70" bestFit="1" customWidth="1"/>
    <col min="2311" max="2311" width="20.28515625" style="70" bestFit="1" customWidth="1"/>
    <col min="2312" max="2312" width="16.140625" style="70" customWidth="1"/>
    <col min="2313" max="2314" width="0" style="70" hidden="1" customWidth="1"/>
    <col min="2315" max="2560" width="9.140625" style="70"/>
    <col min="2561" max="2561" width="7.140625" style="70" customWidth="1"/>
    <col min="2562" max="2562" width="46.7109375" style="70" customWidth="1"/>
    <col min="2563" max="2564" width="15.5703125" style="70" customWidth="1"/>
    <col min="2565" max="2565" width="19" style="70" customWidth="1"/>
    <col min="2566" max="2566" width="16.28515625" style="70" bestFit="1" customWidth="1"/>
    <col min="2567" max="2567" width="20.28515625" style="70" bestFit="1" customWidth="1"/>
    <col min="2568" max="2568" width="16.140625" style="70" customWidth="1"/>
    <col min="2569" max="2570" width="0" style="70" hidden="1" customWidth="1"/>
    <col min="2571" max="2816" width="9.140625" style="70"/>
    <col min="2817" max="2817" width="7.140625" style="70" customWidth="1"/>
    <col min="2818" max="2818" width="46.7109375" style="70" customWidth="1"/>
    <col min="2819" max="2820" width="15.5703125" style="70" customWidth="1"/>
    <col min="2821" max="2821" width="19" style="70" customWidth="1"/>
    <col min="2822" max="2822" width="16.28515625" style="70" bestFit="1" customWidth="1"/>
    <col min="2823" max="2823" width="20.28515625" style="70" bestFit="1" customWidth="1"/>
    <col min="2824" max="2824" width="16.140625" style="70" customWidth="1"/>
    <col min="2825" max="2826" width="0" style="70" hidden="1" customWidth="1"/>
    <col min="2827" max="3072" width="9.140625" style="70"/>
    <col min="3073" max="3073" width="7.140625" style="70" customWidth="1"/>
    <col min="3074" max="3074" width="46.7109375" style="70" customWidth="1"/>
    <col min="3075" max="3076" width="15.5703125" style="70" customWidth="1"/>
    <col min="3077" max="3077" width="19" style="70" customWidth="1"/>
    <col min="3078" max="3078" width="16.28515625" style="70" bestFit="1" customWidth="1"/>
    <col min="3079" max="3079" width="20.28515625" style="70" bestFit="1" customWidth="1"/>
    <col min="3080" max="3080" width="16.140625" style="70" customWidth="1"/>
    <col min="3081" max="3082" width="0" style="70" hidden="1" customWidth="1"/>
    <col min="3083" max="3328" width="9.140625" style="70"/>
    <col min="3329" max="3329" width="7.140625" style="70" customWidth="1"/>
    <col min="3330" max="3330" width="46.7109375" style="70" customWidth="1"/>
    <col min="3331" max="3332" width="15.5703125" style="70" customWidth="1"/>
    <col min="3333" max="3333" width="19" style="70" customWidth="1"/>
    <col min="3334" max="3334" width="16.28515625" style="70" bestFit="1" customWidth="1"/>
    <col min="3335" max="3335" width="20.28515625" style="70" bestFit="1" customWidth="1"/>
    <col min="3336" max="3336" width="16.140625" style="70" customWidth="1"/>
    <col min="3337" max="3338" width="0" style="70" hidden="1" customWidth="1"/>
    <col min="3339" max="3584" width="9.140625" style="70"/>
    <col min="3585" max="3585" width="7.140625" style="70" customWidth="1"/>
    <col min="3586" max="3586" width="46.7109375" style="70" customWidth="1"/>
    <col min="3587" max="3588" width="15.5703125" style="70" customWidth="1"/>
    <col min="3589" max="3589" width="19" style="70" customWidth="1"/>
    <col min="3590" max="3590" width="16.28515625" style="70" bestFit="1" customWidth="1"/>
    <col min="3591" max="3591" width="20.28515625" style="70" bestFit="1" customWidth="1"/>
    <col min="3592" max="3592" width="16.140625" style="70" customWidth="1"/>
    <col min="3593" max="3594" width="0" style="70" hidden="1" customWidth="1"/>
    <col min="3595" max="3840" width="9.140625" style="70"/>
    <col min="3841" max="3841" width="7.140625" style="70" customWidth="1"/>
    <col min="3842" max="3842" width="46.7109375" style="70" customWidth="1"/>
    <col min="3843" max="3844" width="15.5703125" style="70" customWidth="1"/>
    <col min="3845" max="3845" width="19" style="70" customWidth="1"/>
    <col min="3846" max="3846" width="16.28515625" style="70" bestFit="1" customWidth="1"/>
    <col min="3847" max="3847" width="20.28515625" style="70" bestFit="1" customWidth="1"/>
    <col min="3848" max="3848" width="16.140625" style="70" customWidth="1"/>
    <col min="3849" max="3850" width="0" style="70" hidden="1" customWidth="1"/>
    <col min="3851" max="4096" width="9.140625" style="70"/>
    <col min="4097" max="4097" width="7.140625" style="70" customWidth="1"/>
    <col min="4098" max="4098" width="46.7109375" style="70" customWidth="1"/>
    <col min="4099" max="4100" width="15.5703125" style="70" customWidth="1"/>
    <col min="4101" max="4101" width="19" style="70" customWidth="1"/>
    <col min="4102" max="4102" width="16.28515625" style="70" bestFit="1" customWidth="1"/>
    <col min="4103" max="4103" width="20.28515625" style="70" bestFit="1" customWidth="1"/>
    <col min="4104" max="4104" width="16.140625" style="70" customWidth="1"/>
    <col min="4105" max="4106" width="0" style="70" hidden="1" customWidth="1"/>
    <col min="4107" max="4352" width="9.140625" style="70"/>
    <col min="4353" max="4353" width="7.140625" style="70" customWidth="1"/>
    <col min="4354" max="4354" width="46.7109375" style="70" customWidth="1"/>
    <col min="4355" max="4356" width="15.5703125" style="70" customWidth="1"/>
    <col min="4357" max="4357" width="19" style="70" customWidth="1"/>
    <col min="4358" max="4358" width="16.28515625" style="70" bestFit="1" customWidth="1"/>
    <col min="4359" max="4359" width="20.28515625" style="70" bestFit="1" customWidth="1"/>
    <col min="4360" max="4360" width="16.140625" style="70" customWidth="1"/>
    <col min="4361" max="4362" width="0" style="70" hidden="1" customWidth="1"/>
    <col min="4363" max="4608" width="9.140625" style="70"/>
    <col min="4609" max="4609" width="7.140625" style="70" customWidth="1"/>
    <col min="4610" max="4610" width="46.7109375" style="70" customWidth="1"/>
    <col min="4611" max="4612" width="15.5703125" style="70" customWidth="1"/>
    <col min="4613" max="4613" width="19" style="70" customWidth="1"/>
    <col min="4614" max="4614" width="16.28515625" style="70" bestFit="1" customWidth="1"/>
    <col min="4615" max="4615" width="20.28515625" style="70" bestFit="1" customWidth="1"/>
    <col min="4616" max="4616" width="16.140625" style="70" customWidth="1"/>
    <col min="4617" max="4618" width="0" style="70" hidden="1" customWidth="1"/>
    <col min="4619" max="4864" width="9.140625" style="70"/>
    <col min="4865" max="4865" width="7.140625" style="70" customWidth="1"/>
    <col min="4866" max="4866" width="46.7109375" style="70" customWidth="1"/>
    <col min="4867" max="4868" width="15.5703125" style="70" customWidth="1"/>
    <col min="4869" max="4869" width="19" style="70" customWidth="1"/>
    <col min="4870" max="4870" width="16.28515625" style="70" bestFit="1" customWidth="1"/>
    <col min="4871" max="4871" width="20.28515625" style="70" bestFit="1" customWidth="1"/>
    <col min="4872" max="4872" width="16.140625" style="70" customWidth="1"/>
    <col min="4873" max="4874" width="0" style="70" hidden="1" customWidth="1"/>
    <col min="4875" max="5120" width="9.140625" style="70"/>
    <col min="5121" max="5121" width="7.140625" style="70" customWidth="1"/>
    <col min="5122" max="5122" width="46.7109375" style="70" customWidth="1"/>
    <col min="5123" max="5124" width="15.5703125" style="70" customWidth="1"/>
    <col min="5125" max="5125" width="19" style="70" customWidth="1"/>
    <col min="5126" max="5126" width="16.28515625" style="70" bestFit="1" customWidth="1"/>
    <col min="5127" max="5127" width="20.28515625" style="70" bestFit="1" customWidth="1"/>
    <col min="5128" max="5128" width="16.140625" style="70" customWidth="1"/>
    <col min="5129" max="5130" width="0" style="70" hidden="1" customWidth="1"/>
    <col min="5131" max="5376" width="9.140625" style="70"/>
    <col min="5377" max="5377" width="7.140625" style="70" customWidth="1"/>
    <col min="5378" max="5378" width="46.7109375" style="70" customWidth="1"/>
    <col min="5379" max="5380" width="15.5703125" style="70" customWidth="1"/>
    <col min="5381" max="5381" width="19" style="70" customWidth="1"/>
    <col min="5382" max="5382" width="16.28515625" style="70" bestFit="1" customWidth="1"/>
    <col min="5383" max="5383" width="20.28515625" style="70" bestFit="1" customWidth="1"/>
    <col min="5384" max="5384" width="16.140625" style="70" customWidth="1"/>
    <col min="5385" max="5386" width="0" style="70" hidden="1" customWidth="1"/>
    <col min="5387" max="5632" width="9.140625" style="70"/>
    <col min="5633" max="5633" width="7.140625" style="70" customWidth="1"/>
    <col min="5634" max="5634" width="46.7109375" style="70" customWidth="1"/>
    <col min="5635" max="5636" width="15.5703125" style="70" customWidth="1"/>
    <col min="5637" max="5637" width="19" style="70" customWidth="1"/>
    <col min="5638" max="5638" width="16.28515625" style="70" bestFit="1" customWidth="1"/>
    <col min="5639" max="5639" width="20.28515625" style="70" bestFit="1" customWidth="1"/>
    <col min="5640" max="5640" width="16.140625" style="70" customWidth="1"/>
    <col min="5641" max="5642" width="0" style="70" hidden="1" customWidth="1"/>
    <col min="5643" max="5888" width="9.140625" style="70"/>
    <col min="5889" max="5889" width="7.140625" style="70" customWidth="1"/>
    <col min="5890" max="5890" width="46.7109375" style="70" customWidth="1"/>
    <col min="5891" max="5892" width="15.5703125" style="70" customWidth="1"/>
    <col min="5893" max="5893" width="19" style="70" customWidth="1"/>
    <col min="5894" max="5894" width="16.28515625" style="70" bestFit="1" customWidth="1"/>
    <col min="5895" max="5895" width="20.28515625" style="70" bestFit="1" customWidth="1"/>
    <col min="5896" max="5896" width="16.140625" style="70" customWidth="1"/>
    <col min="5897" max="5898" width="0" style="70" hidden="1" customWidth="1"/>
    <col min="5899" max="6144" width="9.140625" style="70"/>
    <col min="6145" max="6145" width="7.140625" style="70" customWidth="1"/>
    <col min="6146" max="6146" width="46.7109375" style="70" customWidth="1"/>
    <col min="6147" max="6148" width="15.5703125" style="70" customWidth="1"/>
    <col min="6149" max="6149" width="19" style="70" customWidth="1"/>
    <col min="6150" max="6150" width="16.28515625" style="70" bestFit="1" customWidth="1"/>
    <col min="6151" max="6151" width="20.28515625" style="70" bestFit="1" customWidth="1"/>
    <col min="6152" max="6152" width="16.140625" style="70" customWidth="1"/>
    <col min="6153" max="6154" width="0" style="70" hidden="1" customWidth="1"/>
    <col min="6155" max="6400" width="9.140625" style="70"/>
    <col min="6401" max="6401" width="7.140625" style="70" customWidth="1"/>
    <col min="6402" max="6402" width="46.7109375" style="70" customWidth="1"/>
    <col min="6403" max="6404" width="15.5703125" style="70" customWidth="1"/>
    <col min="6405" max="6405" width="19" style="70" customWidth="1"/>
    <col min="6406" max="6406" width="16.28515625" style="70" bestFit="1" customWidth="1"/>
    <col min="6407" max="6407" width="20.28515625" style="70" bestFit="1" customWidth="1"/>
    <col min="6408" max="6408" width="16.140625" style="70" customWidth="1"/>
    <col min="6409" max="6410" width="0" style="70" hidden="1" customWidth="1"/>
    <col min="6411" max="6656" width="9.140625" style="70"/>
    <col min="6657" max="6657" width="7.140625" style="70" customWidth="1"/>
    <col min="6658" max="6658" width="46.7109375" style="70" customWidth="1"/>
    <col min="6659" max="6660" width="15.5703125" style="70" customWidth="1"/>
    <col min="6661" max="6661" width="19" style="70" customWidth="1"/>
    <col min="6662" max="6662" width="16.28515625" style="70" bestFit="1" customWidth="1"/>
    <col min="6663" max="6663" width="20.28515625" style="70" bestFit="1" customWidth="1"/>
    <col min="6664" max="6664" width="16.140625" style="70" customWidth="1"/>
    <col min="6665" max="6666" width="0" style="70" hidden="1" customWidth="1"/>
    <col min="6667" max="6912" width="9.140625" style="70"/>
    <col min="6913" max="6913" width="7.140625" style="70" customWidth="1"/>
    <col min="6914" max="6914" width="46.7109375" style="70" customWidth="1"/>
    <col min="6915" max="6916" width="15.5703125" style="70" customWidth="1"/>
    <col min="6917" max="6917" width="19" style="70" customWidth="1"/>
    <col min="6918" max="6918" width="16.28515625" style="70" bestFit="1" customWidth="1"/>
    <col min="6919" max="6919" width="20.28515625" style="70" bestFit="1" customWidth="1"/>
    <col min="6920" max="6920" width="16.140625" style="70" customWidth="1"/>
    <col min="6921" max="6922" width="0" style="70" hidden="1" customWidth="1"/>
    <col min="6923" max="7168" width="9.140625" style="70"/>
    <col min="7169" max="7169" width="7.140625" style="70" customWidth="1"/>
    <col min="7170" max="7170" width="46.7109375" style="70" customWidth="1"/>
    <col min="7171" max="7172" width="15.5703125" style="70" customWidth="1"/>
    <col min="7173" max="7173" width="19" style="70" customWidth="1"/>
    <col min="7174" max="7174" width="16.28515625" style="70" bestFit="1" customWidth="1"/>
    <col min="7175" max="7175" width="20.28515625" style="70" bestFit="1" customWidth="1"/>
    <col min="7176" max="7176" width="16.140625" style="70" customWidth="1"/>
    <col min="7177" max="7178" width="0" style="70" hidden="1" customWidth="1"/>
    <col min="7179" max="7424" width="9.140625" style="70"/>
    <col min="7425" max="7425" width="7.140625" style="70" customWidth="1"/>
    <col min="7426" max="7426" width="46.7109375" style="70" customWidth="1"/>
    <col min="7427" max="7428" width="15.5703125" style="70" customWidth="1"/>
    <col min="7429" max="7429" width="19" style="70" customWidth="1"/>
    <col min="7430" max="7430" width="16.28515625" style="70" bestFit="1" customWidth="1"/>
    <col min="7431" max="7431" width="20.28515625" style="70" bestFit="1" customWidth="1"/>
    <col min="7432" max="7432" width="16.140625" style="70" customWidth="1"/>
    <col min="7433" max="7434" width="0" style="70" hidden="1" customWidth="1"/>
    <col min="7435" max="7680" width="9.140625" style="70"/>
    <col min="7681" max="7681" width="7.140625" style="70" customWidth="1"/>
    <col min="7682" max="7682" width="46.7109375" style="70" customWidth="1"/>
    <col min="7683" max="7684" width="15.5703125" style="70" customWidth="1"/>
    <col min="7685" max="7685" width="19" style="70" customWidth="1"/>
    <col min="7686" max="7686" width="16.28515625" style="70" bestFit="1" customWidth="1"/>
    <col min="7687" max="7687" width="20.28515625" style="70" bestFit="1" customWidth="1"/>
    <col min="7688" max="7688" width="16.140625" style="70" customWidth="1"/>
    <col min="7689" max="7690" width="0" style="70" hidden="1" customWidth="1"/>
    <col min="7691" max="7936" width="9.140625" style="70"/>
    <col min="7937" max="7937" width="7.140625" style="70" customWidth="1"/>
    <col min="7938" max="7938" width="46.7109375" style="70" customWidth="1"/>
    <col min="7939" max="7940" width="15.5703125" style="70" customWidth="1"/>
    <col min="7941" max="7941" width="19" style="70" customWidth="1"/>
    <col min="7942" max="7942" width="16.28515625" style="70" bestFit="1" customWidth="1"/>
    <col min="7943" max="7943" width="20.28515625" style="70" bestFit="1" customWidth="1"/>
    <col min="7944" max="7944" width="16.140625" style="70" customWidth="1"/>
    <col min="7945" max="7946" width="0" style="70" hidden="1" customWidth="1"/>
    <col min="7947" max="8192" width="9.140625" style="70"/>
    <col min="8193" max="8193" width="7.140625" style="70" customWidth="1"/>
    <col min="8194" max="8194" width="46.7109375" style="70" customWidth="1"/>
    <col min="8195" max="8196" width="15.5703125" style="70" customWidth="1"/>
    <col min="8197" max="8197" width="19" style="70" customWidth="1"/>
    <col min="8198" max="8198" width="16.28515625" style="70" bestFit="1" customWidth="1"/>
    <col min="8199" max="8199" width="20.28515625" style="70" bestFit="1" customWidth="1"/>
    <col min="8200" max="8200" width="16.140625" style="70" customWidth="1"/>
    <col min="8201" max="8202" width="0" style="70" hidden="1" customWidth="1"/>
    <col min="8203" max="8448" width="9.140625" style="70"/>
    <col min="8449" max="8449" width="7.140625" style="70" customWidth="1"/>
    <col min="8450" max="8450" width="46.7109375" style="70" customWidth="1"/>
    <col min="8451" max="8452" width="15.5703125" style="70" customWidth="1"/>
    <col min="8453" max="8453" width="19" style="70" customWidth="1"/>
    <col min="8454" max="8454" width="16.28515625" style="70" bestFit="1" customWidth="1"/>
    <col min="8455" max="8455" width="20.28515625" style="70" bestFit="1" customWidth="1"/>
    <col min="8456" max="8456" width="16.140625" style="70" customWidth="1"/>
    <col min="8457" max="8458" width="0" style="70" hidden="1" customWidth="1"/>
    <col min="8459" max="8704" width="9.140625" style="70"/>
    <col min="8705" max="8705" width="7.140625" style="70" customWidth="1"/>
    <col min="8706" max="8706" width="46.7109375" style="70" customWidth="1"/>
    <col min="8707" max="8708" width="15.5703125" style="70" customWidth="1"/>
    <col min="8709" max="8709" width="19" style="70" customWidth="1"/>
    <col min="8710" max="8710" width="16.28515625" style="70" bestFit="1" customWidth="1"/>
    <col min="8711" max="8711" width="20.28515625" style="70" bestFit="1" customWidth="1"/>
    <col min="8712" max="8712" width="16.140625" style="70" customWidth="1"/>
    <col min="8713" max="8714" width="0" style="70" hidden="1" customWidth="1"/>
    <col min="8715" max="8960" width="9.140625" style="70"/>
    <col min="8961" max="8961" width="7.140625" style="70" customWidth="1"/>
    <col min="8962" max="8962" width="46.7109375" style="70" customWidth="1"/>
    <col min="8963" max="8964" width="15.5703125" style="70" customWidth="1"/>
    <col min="8965" max="8965" width="19" style="70" customWidth="1"/>
    <col min="8966" max="8966" width="16.28515625" style="70" bestFit="1" customWidth="1"/>
    <col min="8967" max="8967" width="20.28515625" style="70" bestFit="1" customWidth="1"/>
    <col min="8968" max="8968" width="16.140625" style="70" customWidth="1"/>
    <col min="8969" max="8970" width="0" style="70" hidden="1" customWidth="1"/>
    <col min="8971" max="9216" width="9.140625" style="70"/>
    <col min="9217" max="9217" width="7.140625" style="70" customWidth="1"/>
    <col min="9218" max="9218" width="46.7109375" style="70" customWidth="1"/>
    <col min="9219" max="9220" width="15.5703125" style="70" customWidth="1"/>
    <col min="9221" max="9221" width="19" style="70" customWidth="1"/>
    <col min="9222" max="9222" width="16.28515625" style="70" bestFit="1" customWidth="1"/>
    <col min="9223" max="9223" width="20.28515625" style="70" bestFit="1" customWidth="1"/>
    <col min="9224" max="9224" width="16.140625" style="70" customWidth="1"/>
    <col min="9225" max="9226" width="0" style="70" hidden="1" customWidth="1"/>
    <col min="9227" max="9472" width="9.140625" style="70"/>
    <col min="9473" max="9473" width="7.140625" style="70" customWidth="1"/>
    <col min="9474" max="9474" width="46.7109375" style="70" customWidth="1"/>
    <col min="9475" max="9476" width="15.5703125" style="70" customWidth="1"/>
    <col min="9477" max="9477" width="19" style="70" customWidth="1"/>
    <col min="9478" max="9478" width="16.28515625" style="70" bestFit="1" customWidth="1"/>
    <col min="9479" max="9479" width="20.28515625" style="70" bestFit="1" customWidth="1"/>
    <col min="9480" max="9480" width="16.140625" style="70" customWidth="1"/>
    <col min="9481" max="9482" width="0" style="70" hidden="1" customWidth="1"/>
    <col min="9483" max="9728" width="9.140625" style="70"/>
    <col min="9729" max="9729" width="7.140625" style="70" customWidth="1"/>
    <col min="9730" max="9730" width="46.7109375" style="70" customWidth="1"/>
    <col min="9731" max="9732" width="15.5703125" style="70" customWidth="1"/>
    <col min="9733" max="9733" width="19" style="70" customWidth="1"/>
    <col min="9734" max="9734" width="16.28515625" style="70" bestFit="1" customWidth="1"/>
    <col min="9735" max="9735" width="20.28515625" style="70" bestFit="1" customWidth="1"/>
    <col min="9736" max="9736" width="16.140625" style="70" customWidth="1"/>
    <col min="9737" max="9738" width="0" style="70" hidden="1" customWidth="1"/>
    <col min="9739" max="9984" width="9.140625" style="70"/>
    <col min="9985" max="9985" width="7.140625" style="70" customWidth="1"/>
    <col min="9986" max="9986" width="46.7109375" style="70" customWidth="1"/>
    <col min="9987" max="9988" width="15.5703125" style="70" customWidth="1"/>
    <col min="9989" max="9989" width="19" style="70" customWidth="1"/>
    <col min="9990" max="9990" width="16.28515625" style="70" bestFit="1" customWidth="1"/>
    <col min="9991" max="9991" width="20.28515625" style="70" bestFit="1" customWidth="1"/>
    <col min="9992" max="9992" width="16.140625" style="70" customWidth="1"/>
    <col min="9993" max="9994" width="0" style="70" hidden="1" customWidth="1"/>
    <col min="9995" max="10240" width="9.140625" style="70"/>
    <col min="10241" max="10241" width="7.140625" style="70" customWidth="1"/>
    <col min="10242" max="10242" width="46.7109375" style="70" customWidth="1"/>
    <col min="10243" max="10244" width="15.5703125" style="70" customWidth="1"/>
    <col min="10245" max="10245" width="19" style="70" customWidth="1"/>
    <col min="10246" max="10246" width="16.28515625" style="70" bestFit="1" customWidth="1"/>
    <col min="10247" max="10247" width="20.28515625" style="70" bestFit="1" customWidth="1"/>
    <col min="10248" max="10248" width="16.140625" style="70" customWidth="1"/>
    <col min="10249" max="10250" width="0" style="70" hidden="1" customWidth="1"/>
    <col min="10251" max="10496" width="9.140625" style="70"/>
    <col min="10497" max="10497" width="7.140625" style="70" customWidth="1"/>
    <col min="10498" max="10498" width="46.7109375" style="70" customWidth="1"/>
    <col min="10499" max="10500" width="15.5703125" style="70" customWidth="1"/>
    <col min="10501" max="10501" width="19" style="70" customWidth="1"/>
    <col min="10502" max="10502" width="16.28515625" style="70" bestFit="1" customWidth="1"/>
    <col min="10503" max="10503" width="20.28515625" style="70" bestFit="1" customWidth="1"/>
    <col min="10504" max="10504" width="16.140625" style="70" customWidth="1"/>
    <col min="10505" max="10506" width="0" style="70" hidden="1" customWidth="1"/>
    <col min="10507" max="10752" width="9.140625" style="70"/>
    <col min="10753" max="10753" width="7.140625" style="70" customWidth="1"/>
    <col min="10754" max="10754" width="46.7109375" style="70" customWidth="1"/>
    <col min="10755" max="10756" width="15.5703125" style="70" customWidth="1"/>
    <col min="10757" max="10757" width="19" style="70" customWidth="1"/>
    <col min="10758" max="10758" width="16.28515625" style="70" bestFit="1" customWidth="1"/>
    <col min="10759" max="10759" width="20.28515625" style="70" bestFit="1" customWidth="1"/>
    <col min="10760" max="10760" width="16.140625" style="70" customWidth="1"/>
    <col min="10761" max="10762" width="0" style="70" hidden="1" customWidth="1"/>
    <col min="10763" max="11008" width="9.140625" style="70"/>
    <col min="11009" max="11009" width="7.140625" style="70" customWidth="1"/>
    <col min="11010" max="11010" width="46.7109375" style="70" customWidth="1"/>
    <col min="11011" max="11012" width="15.5703125" style="70" customWidth="1"/>
    <col min="11013" max="11013" width="19" style="70" customWidth="1"/>
    <col min="11014" max="11014" width="16.28515625" style="70" bestFit="1" customWidth="1"/>
    <col min="11015" max="11015" width="20.28515625" style="70" bestFit="1" customWidth="1"/>
    <col min="11016" max="11016" width="16.140625" style="70" customWidth="1"/>
    <col min="11017" max="11018" width="0" style="70" hidden="1" customWidth="1"/>
    <col min="11019" max="11264" width="9.140625" style="70"/>
    <col min="11265" max="11265" width="7.140625" style="70" customWidth="1"/>
    <col min="11266" max="11266" width="46.7109375" style="70" customWidth="1"/>
    <col min="11267" max="11268" width="15.5703125" style="70" customWidth="1"/>
    <col min="11269" max="11269" width="19" style="70" customWidth="1"/>
    <col min="11270" max="11270" width="16.28515625" style="70" bestFit="1" customWidth="1"/>
    <col min="11271" max="11271" width="20.28515625" style="70" bestFit="1" customWidth="1"/>
    <col min="11272" max="11272" width="16.140625" style="70" customWidth="1"/>
    <col min="11273" max="11274" width="0" style="70" hidden="1" customWidth="1"/>
    <col min="11275" max="11520" width="9.140625" style="70"/>
    <col min="11521" max="11521" width="7.140625" style="70" customWidth="1"/>
    <col min="11522" max="11522" width="46.7109375" style="70" customWidth="1"/>
    <col min="11523" max="11524" width="15.5703125" style="70" customWidth="1"/>
    <col min="11525" max="11525" width="19" style="70" customWidth="1"/>
    <col min="11526" max="11526" width="16.28515625" style="70" bestFit="1" customWidth="1"/>
    <col min="11527" max="11527" width="20.28515625" style="70" bestFit="1" customWidth="1"/>
    <col min="11528" max="11528" width="16.140625" style="70" customWidth="1"/>
    <col min="11529" max="11530" width="0" style="70" hidden="1" customWidth="1"/>
    <col min="11531" max="11776" width="9.140625" style="70"/>
    <col min="11777" max="11777" width="7.140625" style="70" customWidth="1"/>
    <col min="11778" max="11778" width="46.7109375" style="70" customWidth="1"/>
    <col min="11779" max="11780" width="15.5703125" style="70" customWidth="1"/>
    <col min="11781" max="11781" width="19" style="70" customWidth="1"/>
    <col min="11782" max="11782" width="16.28515625" style="70" bestFit="1" customWidth="1"/>
    <col min="11783" max="11783" width="20.28515625" style="70" bestFit="1" customWidth="1"/>
    <col min="11784" max="11784" width="16.140625" style="70" customWidth="1"/>
    <col min="11785" max="11786" width="0" style="70" hidden="1" customWidth="1"/>
    <col min="11787" max="12032" width="9.140625" style="70"/>
    <col min="12033" max="12033" width="7.140625" style="70" customWidth="1"/>
    <col min="12034" max="12034" width="46.7109375" style="70" customWidth="1"/>
    <col min="12035" max="12036" width="15.5703125" style="70" customWidth="1"/>
    <col min="12037" max="12037" width="19" style="70" customWidth="1"/>
    <col min="12038" max="12038" width="16.28515625" style="70" bestFit="1" customWidth="1"/>
    <col min="12039" max="12039" width="20.28515625" style="70" bestFit="1" customWidth="1"/>
    <col min="12040" max="12040" width="16.140625" style="70" customWidth="1"/>
    <col min="12041" max="12042" width="0" style="70" hidden="1" customWidth="1"/>
    <col min="12043" max="12288" width="9.140625" style="70"/>
    <col min="12289" max="12289" width="7.140625" style="70" customWidth="1"/>
    <col min="12290" max="12290" width="46.7109375" style="70" customWidth="1"/>
    <col min="12291" max="12292" width="15.5703125" style="70" customWidth="1"/>
    <col min="12293" max="12293" width="19" style="70" customWidth="1"/>
    <col min="12294" max="12294" width="16.28515625" style="70" bestFit="1" customWidth="1"/>
    <col min="12295" max="12295" width="20.28515625" style="70" bestFit="1" customWidth="1"/>
    <col min="12296" max="12296" width="16.140625" style="70" customWidth="1"/>
    <col min="12297" max="12298" width="0" style="70" hidden="1" customWidth="1"/>
    <col min="12299" max="12544" width="9.140625" style="70"/>
    <col min="12545" max="12545" width="7.140625" style="70" customWidth="1"/>
    <col min="12546" max="12546" width="46.7109375" style="70" customWidth="1"/>
    <col min="12547" max="12548" width="15.5703125" style="70" customWidth="1"/>
    <col min="12549" max="12549" width="19" style="70" customWidth="1"/>
    <col min="12550" max="12550" width="16.28515625" style="70" bestFit="1" customWidth="1"/>
    <col min="12551" max="12551" width="20.28515625" style="70" bestFit="1" customWidth="1"/>
    <col min="12552" max="12552" width="16.140625" style="70" customWidth="1"/>
    <col min="12553" max="12554" width="0" style="70" hidden="1" customWidth="1"/>
    <col min="12555" max="12800" width="9.140625" style="70"/>
    <col min="12801" max="12801" width="7.140625" style="70" customWidth="1"/>
    <col min="12802" max="12802" width="46.7109375" style="70" customWidth="1"/>
    <col min="12803" max="12804" width="15.5703125" style="70" customWidth="1"/>
    <col min="12805" max="12805" width="19" style="70" customWidth="1"/>
    <col min="12806" max="12806" width="16.28515625" style="70" bestFit="1" customWidth="1"/>
    <col min="12807" max="12807" width="20.28515625" style="70" bestFit="1" customWidth="1"/>
    <col min="12808" max="12808" width="16.140625" style="70" customWidth="1"/>
    <col min="12809" max="12810" width="0" style="70" hidden="1" customWidth="1"/>
    <col min="12811" max="13056" width="9.140625" style="70"/>
    <col min="13057" max="13057" width="7.140625" style="70" customWidth="1"/>
    <col min="13058" max="13058" width="46.7109375" style="70" customWidth="1"/>
    <col min="13059" max="13060" width="15.5703125" style="70" customWidth="1"/>
    <col min="13061" max="13061" width="19" style="70" customWidth="1"/>
    <col min="13062" max="13062" width="16.28515625" style="70" bestFit="1" customWidth="1"/>
    <col min="13063" max="13063" width="20.28515625" style="70" bestFit="1" customWidth="1"/>
    <col min="13064" max="13064" width="16.140625" style="70" customWidth="1"/>
    <col min="13065" max="13066" width="0" style="70" hidden="1" customWidth="1"/>
    <col min="13067" max="13312" width="9.140625" style="70"/>
    <col min="13313" max="13313" width="7.140625" style="70" customWidth="1"/>
    <col min="13314" max="13314" width="46.7109375" style="70" customWidth="1"/>
    <col min="13315" max="13316" width="15.5703125" style="70" customWidth="1"/>
    <col min="13317" max="13317" width="19" style="70" customWidth="1"/>
    <col min="13318" max="13318" width="16.28515625" style="70" bestFit="1" customWidth="1"/>
    <col min="13319" max="13319" width="20.28515625" style="70" bestFit="1" customWidth="1"/>
    <col min="13320" max="13320" width="16.140625" style="70" customWidth="1"/>
    <col min="13321" max="13322" width="0" style="70" hidden="1" customWidth="1"/>
    <col min="13323" max="13568" width="9.140625" style="70"/>
    <col min="13569" max="13569" width="7.140625" style="70" customWidth="1"/>
    <col min="13570" max="13570" width="46.7109375" style="70" customWidth="1"/>
    <col min="13571" max="13572" width="15.5703125" style="70" customWidth="1"/>
    <col min="13573" max="13573" width="19" style="70" customWidth="1"/>
    <col min="13574" max="13574" width="16.28515625" style="70" bestFit="1" customWidth="1"/>
    <col min="13575" max="13575" width="20.28515625" style="70" bestFit="1" customWidth="1"/>
    <col min="13576" max="13576" width="16.140625" style="70" customWidth="1"/>
    <col min="13577" max="13578" width="0" style="70" hidden="1" customWidth="1"/>
    <col min="13579" max="13824" width="9.140625" style="70"/>
    <col min="13825" max="13825" width="7.140625" style="70" customWidth="1"/>
    <col min="13826" max="13826" width="46.7109375" style="70" customWidth="1"/>
    <col min="13827" max="13828" width="15.5703125" style="70" customWidth="1"/>
    <col min="13829" max="13829" width="19" style="70" customWidth="1"/>
    <col min="13830" max="13830" width="16.28515625" style="70" bestFit="1" customWidth="1"/>
    <col min="13831" max="13831" width="20.28515625" style="70" bestFit="1" customWidth="1"/>
    <col min="13832" max="13832" width="16.140625" style="70" customWidth="1"/>
    <col min="13833" max="13834" width="0" style="70" hidden="1" customWidth="1"/>
    <col min="13835" max="14080" width="9.140625" style="70"/>
    <col min="14081" max="14081" width="7.140625" style="70" customWidth="1"/>
    <col min="14082" max="14082" width="46.7109375" style="70" customWidth="1"/>
    <col min="14083" max="14084" width="15.5703125" style="70" customWidth="1"/>
    <col min="14085" max="14085" width="19" style="70" customWidth="1"/>
    <col min="14086" max="14086" width="16.28515625" style="70" bestFit="1" customWidth="1"/>
    <col min="14087" max="14087" width="20.28515625" style="70" bestFit="1" customWidth="1"/>
    <col min="14088" max="14088" width="16.140625" style="70" customWidth="1"/>
    <col min="14089" max="14090" width="0" style="70" hidden="1" customWidth="1"/>
    <col min="14091" max="14336" width="9.140625" style="70"/>
    <col min="14337" max="14337" width="7.140625" style="70" customWidth="1"/>
    <col min="14338" max="14338" width="46.7109375" style="70" customWidth="1"/>
    <col min="14339" max="14340" width="15.5703125" style="70" customWidth="1"/>
    <col min="14341" max="14341" width="19" style="70" customWidth="1"/>
    <col min="14342" max="14342" width="16.28515625" style="70" bestFit="1" customWidth="1"/>
    <col min="14343" max="14343" width="20.28515625" style="70" bestFit="1" customWidth="1"/>
    <col min="14344" max="14344" width="16.140625" style="70" customWidth="1"/>
    <col min="14345" max="14346" width="0" style="70" hidden="1" customWidth="1"/>
    <col min="14347" max="14592" width="9.140625" style="70"/>
    <col min="14593" max="14593" width="7.140625" style="70" customWidth="1"/>
    <col min="14594" max="14594" width="46.7109375" style="70" customWidth="1"/>
    <col min="14595" max="14596" width="15.5703125" style="70" customWidth="1"/>
    <col min="14597" max="14597" width="19" style="70" customWidth="1"/>
    <col min="14598" max="14598" width="16.28515625" style="70" bestFit="1" customWidth="1"/>
    <col min="14599" max="14599" width="20.28515625" style="70" bestFit="1" customWidth="1"/>
    <col min="14600" max="14600" width="16.140625" style="70" customWidth="1"/>
    <col min="14601" max="14602" width="0" style="70" hidden="1" customWidth="1"/>
    <col min="14603" max="14848" width="9.140625" style="70"/>
    <col min="14849" max="14849" width="7.140625" style="70" customWidth="1"/>
    <col min="14850" max="14850" width="46.7109375" style="70" customWidth="1"/>
    <col min="14851" max="14852" width="15.5703125" style="70" customWidth="1"/>
    <col min="14853" max="14853" width="19" style="70" customWidth="1"/>
    <col min="14854" max="14854" width="16.28515625" style="70" bestFit="1" customWidth="1"/>
    <col min="14855" max="14855" width="20.28515625" style="70" bestFit="1" customWidth="1"/>
    <col min="14856" max="14856" width="16.140625" style="70" customWidth="1"/>
    <col min="14857" max="14858" width="0" style="70" hidden="1" customWidth="1"/>
    <col min="14859" max="15104" width="9.140625" style="70"/>
    <col min="15105" max="15105" width="7.140625" style="70" customWidth="1"/>
    <col min="15106" max="15106" width="46.7109375" style="70" customWidth="1"/>
    <col min="15107" max="15108" width="15.5703125" style="70" customWidth="1"/>
    <col min="15109" max="15109" width="19" style="70" customWidth="1"/>
    <col min="15110" max="15110" width="16.28515625" style="70" bestFit="1" customWidth="1"/>
    <col min="15111" max="15111" width="20.28515625" style="70" bestFit="1" customWidth="1"/>
    <col min="15112" max="15112" width="16.140625" style="70" customWidth="1"/>
    <col min="15113" max="15114" width="0" style="70" hidden="1" customWidth="1"/>
    <col min="15115" max="15360" width="9.140625" style="70"/>
    <col min="15361" max="15361" width="7.140625" style="70" customWidth="1"/>
    <col min="15362" max="15362" width="46.7109375" style="70" customWidth="1"/>
    <col min="15363" max="15364" width="15.5703125" style="70" customWidth="1"/>
    <col min="15365" max="15365" width="19" style="70" customWidth="1"/>
    <col min="15366" max="15366" width="16.28515625" style="70" bestFit="1" customWidth="1"/>
    <col min="15367" max="15367" width="20.28515625" style="70" bestFit="1" customWidth="1"/>
    <col min="15368" max="15368" width="16.140625" style="70" customWidth="1"/>
    <col min="15369" max="15370" width="0" style="70" hidden="1" customWidth="1"/>
    <col min="15371" max="15616" width="9.140625" style="70"/>
    <col min="15617" max="15617" width="7.140625" style="70" customWidth="1"/>
    <col min="15618" max="15618" width="46.7109375" style="70" customWidth="1"/>
    <col min="15619" max="15620" width="15.5703125" style="70" customWidth="1"/>
    <col min="15621" max="15621" width="19" style="70" customWidth="1"/>
    <col min="15622" max="15622" width="16.28515625" style="70" bestFit="1" customWidth="1"/>
    <col min="15623" max="15623" width="20.28515625" style="70" bestFit="1" customWidth="1"/>
    <col min="15624" max="15624" width="16.140625" style="70" customWidth="1"/>
    <col min="15625" max="15626" width="0" style="70" hidden="1" customWidth="1"/>
    <col min="15627" max="15872" width="9.140625" style="70"/>
    <col min="15873" max="15873" width="7.140625" style="70" customWidth="1"/>
    <col min="15874" max="15874" width="46.7109375" style="70" customWidth="1"/>
    <col min="15875" max="15876" width="15.5703125" style="70" customWidth="1"/>
    <col min="15877" max="15877" width="19" style="70" customWidth="1"/>
    <col min="15878" max="15878" width="16.28515625" style="70" bestFit="1" customWidth="1"/>
    <col min="15879" max="15879" width="20.28515625" style="70" bestFit="1" customWidth="1"/>
    <col min="15880" max="15880" width="16.140625" style="70" customWidth="1"/>
    <col min="15881" max="15882" width="0" style="70" hidden="1" customWidth="1"/>
    <col min="15883" max="16128" width="9.140625" style="70"/>
    <col min="16129" max="16129" width="7.140625" style="70" customWidth="1"/>
    <col min="16130" max="16130" width="46.7109375" style="70" customWidth="1"/>
    <col min="16131" max="16132" width="15.5703125" style="70" customWidth="1"/>
    <col min="16133" max="16133" width="19" style="70" customWidth="1"/>
    <col min="16134" max="16134" width="16.28515625" style="70" bestFit="1" customWidth="1"/>
    <col min="16135" max="16135" width="20.28515625" style="70" bestFit="1" customWidth="1"/>
    <col min="16136" max="16136" width="16.140625" style="70" customWidth="1"/>
    <col min="16137" max="16138" width="0" style="70" hidden="1" customWidth="1"/>
    <col min="16139" max="16384" width="9.140625" style="70"/>
  </cols>
  <sheetData>
    <row r="1" spans="1:10" ht="31.5" customHeight="1" x14ac:dyDescent="0.25">
      <c r="A1" s="159" t="s">
        <v>131</v>
      </c>
      <c r="B1" s="159"/>
      <c r="C1" s="159"/>
      <c r="D1" s="159"/>
      <c r="E1" s="159"/>
      <c r="F1" s="159"/>
      <c r="G1" s="159"/>
      <c r="H1" s="159"/>
      <c r="I1" s="69"/>
      <c r="J1" s="69"/>
    </row>
    <row r="2" spans="1:10" ht="20.25" customHeight="1" x14ac:dyDescent="0.25">
      <c r="F2" s="73"/>
      <c r="G2" s="70"/>
      <c r="H2" s="70" t="s">
        <v>132</v>
      </c>
    </row>
    <row r="3" spans="1:10" ht="33" x14ac:dyDescent="0.25">
      <c r="A3" s="74" t="s">
        <v>80</v>
      </c>
      <c r="B3" s="75" t="s">
        <v>133</v>
      </c>
      <c r="C3" s="75" t="s">
        <v>86</v>
      </c>
      <c r="D3" s="75" t="s">
        <v>101</v>
      </c>
      <c r="E3" s="75" t="s">
        <v>5</v>
      </c>
      <c r="F3" s="74" t="s">
        <v>134</v>
      </c>
      <c r="G3" s="75" t="s">
        <v>7</v>
      </c>
      <c r="H3" s="76" t="s">
        <v>27</v>
      </c>
    </row>
    <row r="4" spans="1:10" ht="18.75" x14ac:dyDescent="0.3">
      <c r="A4" s="74" t="s">
        <v>82</v>
      </c>
      <c r="B4" s="77" t="s">
        <v>135</v>
      </c>
      <c r="C4" s="78"/>
      <c r="D4" s="78"/>
      <c r="E4" s="79">
        <f>SUM(E5:E8)</f>
        <v>6056430000</v>
      </c>
      <c r="F4" s="79">
        <f>SUM(F5:F8)</f>
        <v>605643000</v>
      </c>
      <c r="G4" s="79">
        <f>SUM(G5:G8)</f>
        <v>6662073000</v>
      </c>
      <c r="H4" s="76"/>
    </row>
    <row r="5" spans="1:10" s="87" customFormat="1" ht="16.5" x14ac:dyDescent="0.25">
      <c r="A5" s="80">
        <v>1</v>
      </c>
      <c r="B5" s="81" t="s">
        <v>136</v>
      </c>
      <c r="C5" s="82" t="s">
        <v>137</v>
      </c>
      <c r="D5" s="83">
        <f>12900*0.3</f>
        <v>3870</v>
      </c>
      <c r="E5" s="84">
        <f>D5*200000</f>
        <v>774000000</v>
      </c>
      <c r="F5" s="84">
        <f>E5*0.1</f>
        <v>77400000</v>
      </c>
      <c r="G5" s="84">
        <f>E5+F5</f>
        <v>851400000</v>
      </c>
      <c r="H5" s="84"/>
      <c r="I5" s="85"/>
      <c r="J5" s="86">
        <v>4752404373.1999998</v>
      </c>
    </row>
    <row r="6" spans="1:10" s="87" customFormat="1" ht="16.5" x14ac:dyDescent="0.25">
      <c r="A6" s="80">
        <v>2</v>
      </c>
      <c r="B6" s="81" t="s">
        <v>138</v>
      </c>
      <c r="C6" s="82" t="s">
        <v>139</v>
      </c>
      <c r="D6" s="83">
        <f>65686</f>
        <v>65686</v>
      </c>
      <c r="E6" s="84">
        <f>500000000*D6/100000</f>
        <v>328430000</v>
      </c>
      <c r="F6" s="84">
        <f>E6*0.1</f>
        <v>32843000</v>
      </c>
      <c r="G6" s="84">
        <f>E6+F6</f>
        <v>361273000</v>
      </c>
      <c r="H6" s="84"/>
      <c r="I6" s="88"/>
      <c r="J6" s="88"/>
    </row>
    <row r="7" spans="1:10" s="87" customFormat="1" ht="16.5" x14ac:dyDescent="0.25">
      <c r="A7" s="80">
        <v>3</v>
      </c>
      <c r="B7" s="81" t="s">
        <v>140</v>
      </c>
      <c r="C7" s="82" t="s">
        <v>137</v>
      </c>
      <c r="D7" s="83">
        <v>4554</v>
      </c>
      <c r="E7" s="84">
        <f>D7*1000000</f>
        <v>4554000000</v>
      </c>
      <c r="F7" s="84">
        <f>E7*0.1</f>
        <v>455400000</v>
      </c>
      <c r="G7" s="84">
        <f>E7+F7</f>
        <v>5009400000</v>
      </c>
      <c r="H7" s="84"/>
      <c r="I7" s="88"/>
      <c r="J7" s="88"/>
    </row>
    <row r="8" spans="1:10" s="87" customFormat="1" ht="16.5" x14ac:dyDescent="0.25">
      <c r="A8" s="80">
        <v>4</v>
      </c>
      <c r="B8" s="81" t="s">
        <v>141</v>
      </c>
      <c r="C8" s="82" t="s">
        <v>137</v>
      </c>
      <c r="D8" s="122">
        <v>4000</v>
      </c>
      <c r="E8" s="84">
        <f>D8*100000</f>
        <v>400000000</v>
      </c>
      <c r="F8" s="84">
        <f>E8*0.1</f>
        <v>40000000</v>
      </c>
      <c r="G8" s="84">
        <f>E8+F8</f>
        <v>440000000</v>
      </c>
      <c r="H8" s="84"/>
      <c r="I8" s="88"/>
      <c r="J8" s="88"/>
    </row>
    <row r="9" spans="1:10" s="93" customFormat="1" ht="18.75" x14ac:dyDescent="0.3">
      <c r="A9" s="89" t="s">
        <v>83</v>
      </c>
      <c r="B9" s="77" t="s">
        <v>142</v>
      </c>
      <c r="C9" s="90"/>
      <c r="D9" s="90"/>
      <c r="E9" s="79">
        <f>SUM(E10:E17)</f>
        <v>2045000000</v>
      </c>
      <c r="F9" s="79">
        <f>SUM(F10:F17)</f>
        <v>204500000</v>
      </c>
      <c r="G9" s="79">
        <f>SUM(G10:G17)</f>
        <v>2249500000</v>
      </c>
      <c r="H9" s="91"/>
      <c r="I9" s="92"/>
      <c r="J9" s="92"/>
    </row>
    <row r="10" spans="1:10" s="87" customFormat="1" ht="16.5" x14ac:dyDescent="0.25">
      <c r="A10" s="80">
        <v>1</v>
      </c>
      <c r="B10" s="123" t="s">
        <v>143</v>
      </c>
      <c r="C10" s="83" t="s">
        <v>139</v>
      </c>
      <c r="D10" s="83">
        <v>270</v>
      </c>
      <c r="E10" s="94">
        <f>D10*500000</f>
        <v>135000000</v>
      </c>
      <c r="F10" s="84">
        <f>E10*0.1</f>
        <v>13500000</v>
      </c>
      <c r="G10" s="84">
        <f>E10+F10</f>
        <v>148500000</v>
      </c>
      <c r="H10" s="84"/>
      <c r="I10" s="88"/>
      <c r="J10" s="88"/>
    </row>
    <row r="11" spans="1:10" s="87" customFormat="1" ht="16.5" x14ac:dyDescent="0.25">
      <c r="A11" s="80">
        <v>2</v>
      </c>
      <c r="B11" s="123" t="s">
        <v>144</v>
      </c>
      <c r="C11" s="83" t="s">
        <v>139</v>
      </c>
      <c r="D11" s="83">
        <v>230</v>
      </c>
      <c r="E11" s="94">
        <f t="shared" ref="E11:E16" si="0">D11*500000</f>
        <v>115000000</v>
      </c>
      <c r="F11" s="84">
        <f t="shared" ref="F11:F17" si="1">E11*0.1</f>
        <v>11500000</v>
      </c>
      <c r="G11" s="84">
        <f t="shared" ref="G11:G16" si="2">E11+F11</f>
        <v>126500000</v>
      </c>
      <c r="H11" s="84"/>
      <c r="I11" s="88"/>
      <c r="J11" s="88"/>
    </row>
    <row r="12" spans="1:10" s="87" customFormat="1" ht="16.5" x14ac:dyDescent="0.25">
      <c r="A12" s="80">
        <v>3</v>
      </c>
      <c r="B12" s="123" t="s">
        <v>145</v>
      </c>
      <c r="C12" s="83" t="s">
        <v>139</v>
      </c>
      <c r="D12" s="83">
        <v>70</v>
      </c>
      <c r="E12" s="94">
        <f t="shared" si="0"/>
        <v>35000000</v>
      </c>
      <c r="F12" s="84">
        <f t="shared" si="1"/>
        <v>3500000</v>
      </c>
      <c r="G12" s="84">
        <f t="shared" si="2"/>
        <v>38500000</v>
      </c>
      <c r="H12" s="84"/>
      <c r="I12" s="88"/>
      <c r="J12" s="88"/>
    </row>
    <row r="13" spans="1:10" s="87" customFormat="1" ht="16.5" x14ac:dyDescent="0.25">
      <c r="A13" s="80">
        <v>4</v>
      </c>
      <c r="B13" s="95" t="s">
        <v>146</v>
      </c>
      <c r="C13" s="83" t="s">
        <v>139</v>
      </c>
      <c r="D13" s="83">
        <v>60</v>
      </c>
      <c r="E13" s="94">
        <f t="shared" si="0"/>
        <v>30000000</v>
      </c>
      <c r="F13" s="84">
        <f t="shared" si="1"/>
        <v>3000000</v>
      </c>
      <c r="G13" s="84">
        <f t="shared" si="2"/>
        <v>33000000</v>
      </c>
      <c r="H13" s="84"/>
      <c r="I13" s="88"/>
      <c r="J13" s="88"/>
    </row>
    <row r="14" spans="1:10" s="87" customFormat="1" ht="16.5" x14ac:dyDescent="0.25">
      <c r="A14" s="80">
        <v>5</v>
      </c>
      <c r="B14" s="95" t="s">
        <v>147</v>
      </c>
      <c r="C14" s="83" t="s">
        <v>139</v>
      </c>
      <c r="D14" s="83">
        <v>50</v>
      </c>
      <c r="E14" s="94">
        <f t="shared" si="0"/>
        <v>25000000</v>
      </c>
      <c r="F14" s="84">
        <f t="shared" si="1"/>
        <v>2500000</v>
      </c>
      <c r="G14" s="84">
        <f t="shared" si="2"/>
        <v>27500000</v>
      </c>
      <c r="H14" s="84"/>
      <c r="I14" s="88"/>
      <c r="J14" s="88"/>
    </row>
    <row r="15" spans="1:10" s="87" customFormat="1" ht="16.5" x14ac:dyDescent="0.25">
      <c r="A15" s="80">
        <v>6</v>
      </c>
      <c r="B15" s="95" t="s">
        <v>148</v>
      </c>
      <c r="C15" s="83" t="s">
        <v>139</v>
      </c>
      <c r="D15" s="83">
        <v>200</v>
      </c>
      <c r="E15" s="94">
        <f t="shared" si="0"/>
        <v>100000000</v>
      </c>
      <c r="F15" s="84">
        <f t="shared" si="1"/>
        <v>10000000</v>
      </c>
      <c r="G15" s="84">
        <f t="shared" si="2"/>
        <v>110000000</v>
      </c>
      <c r="H15" s="84"/>
      <c r="I15" s="88"/>
      <c r="J15" s="88"/>
    </row>
    <row r="16" spans="1:10" s="87" customFormat="1" ht="16.5" x14ac:dyDescent="0.25">
      <c r="A16" s="80">
        <v>7</v>
      </c>
      <c r="B16" s="123" t="s">
        <v>149</v>
      </c>
      <c r="C16" s="83" t="s">
        <v>139</v>
      </c>
      <c r="D16" s="83">
        <v>10</v>
      </c>
      <c r="E16" s="94">
        <f t="shared" si="0"/>
        <v>5000000</v>
      </c>
      <c r="F16" s="84">
        <f t="shared" si="1"/>
        <v>500000</v>
      </c>
      <c r="G16" s="84">
        <f t="shared" si="2"/>
        <v>5500000</v>
      </c>
      <c r="H16" s="84"/>
      <c r="I16" s="88"/>
      <c r="J16" s="88"/>
    </row>
    <row r="17" spans="1:10" s="87" customFormat="1" ht="16.5" x14ac:dyDescent="0.25">
      <c r="A17" s="80">
        <v>8</v>
      </c>
      <c r="B17" s="95" t="s">
        <v>150</v>
      </c>
      <c r="C17" s="83" t="s">
        <v>113</v>
      </c>
      <c r="D17" s="83">
        <v>2</v>
      </c>
      <c r="E17" s="94">
        <f>D17*800000000</f>
        <v>1600000000</v>
      </c>
      <c r="F17" s="84">
        <f t="shared" si="1"/>
        <v>160000000</v>
      </c>
      <c r="G17" s="84">
        <f>E17+F17</f>
        <v>1760000000</v>
      </c>
      <c r="H17" s="84"/>
      <c r="I17" s="88"/>
      <c r="J17" s="88"/>
    </row>
    <row r="18" spans="1:10" s="98" customFormat="1" ht="18.75" customHeight="1" x14ac:dyDescent="0.3">
      <c r="A18" s="89"/>
      <c r="B18" s="77" t="s">
        <v>151</v>
      </c>
      <c r="C18" s="78"/>
      <c r="D18" s="78"/>
      <c r="E18" s="96">
        <f>E4+E9</f>
        <v>8101430000</v>
      </c>
      <c r="F18" s="96">
        <f>F4+F9</f>
        <v>810143000</v>
      </c>
      <c r="G18" s="96">
        <f>G4+G9</f>
        <v>8911573000</v>
      </c>
      <c r="H18" s="97"/>
    </row>
    <row r="19" spans="1:10" s="98" customFormat="1" ht="16.5" hidden="1" x14ac:dyDescent="0.25">
      <c r="A19" s="99" t="s">
        <v>71</v>
      </c>
      <c r="B19" s="100" t="s">
        <v>152</v>
      </c>
      <c r="C19" s="100"/>
      <c r="D19" s="100"/>
      <c r="E19" s="101">
        <f>SUM(E5:E5)</f>
        <v>774000000</v>
      </c>
      <c r="F19" s="102"/>
      <c r="G19" s="103"/>
      <c r="H19" s="104"/>
    </row>
    <row r="20" spans="1:10" s="98" customFormat="1" ht="16.5" hidden="1" x14ac:dyDescent="0.25">
      <c r="A20" s="105"/>
      <c r="B20" s="76" t="s">
        <v>153</v>
      </c>
      <c r="C20" s="76"/>
      <c r="D20" s="76"/>
      <c r="E20" s="106"/>
      <c r="F20" s="107"/>
      <c r="G20" s="108"/>
      <c r="H20" s="109"/>
    </row>
    <row r="21" spans="1:10" s="98" customFormat="1" ht="16.5" hidden="1" x14ac:dyDescent="0.25">
      <c r="A21" s="105"/>
      <c r="B21" s="76" t="s">
        <v>154</v>
      </c>
      <c r="C21" s="76"/>
      <c r="D21" s="76"/>
      <c r="E21" s="106"/>
      <c r="F21" s="107"/>
      <c r="G21" s="108"/>
      <c r="H21" s="109"/>
    </row>
    <row r="22" spans="1:10" s="98" customFormat="1" ht="37.5" hidden="1" x14ac:dyDescent="0.3">
      <c r="A22" s="105" t="s">
        <v>71</v>
      </c>
      <c r="B22" s="110" t="s">
        <v>155</v>
      </c>
      <c r="C22" s="110"/>
      <c r="D22" s="110"/>
      <c r="E22" s="106"/>
      <c r="F22" s="106"/>
      <c r="G22" s="111"/>
      <c r="H22" s="109"/>
    </row>
    <row r="23" spans="1:10" ht="18.75" hidden="1" customHeight="1" x14ac:dyDescent="0.25">
      <c r="A23" s="112" t="s">
        <v>156</v>
      </c>
      <c r="B23" s="113" t="s">
        <v>157</v>
      </c>
      <c r="C23" s="113"/>
      <c r="D23" s="113"/>
      <c r="E23" s="114" t="e">
        <f>#REF!+E22+E19+E20+E21</f>
        <v>#REF!</v>
      </c>
      <c r="F23" s="114" t="e">
        <f>#REF!+F22+F19+F20+F21</f>
        <v>#REF!</v>
      </c>
      <c r="G23" s="115" t="e">
        <f>#REF!+G22+G19+G20+G21</f>
        <v>#REF!</v>
      </c>
      <c r="H23" s="109"/>
    </row>
    <row r="24" spans="1:10" ht="16.5" hidden="1" x14ac:dyDescent="0.25">
      <c r="H24" s="109"/>
    </row>
    <row r="25" spans="1:10" ht="16.5" hidden="1" x14ac:dyDescent="0.25">
      <c r="E25" s="118" t="e">
        <f>'[1]6,CFSX'!#REF!*80000/1.1</f>
        <v>#REF!</v>
      </c>
      <c r="F25" s="118" t="e">
        <f>E25*0.1</f>
        <v>#REF!</v>
      </c>
      <c r="G25" s="119" t="e">
        <f>E25+F25</f>
        <v>#REF!</v>
      </c>
    </row>
    <row r="26" spans="1:10" hidden="1" x14ac:dyDescent="0.25"/>
    <row r="27" spans="1:10" hidden="1" x14ac:dyDescent="0.25">
      <c r="E27" s="116" t="e">
        <f>E18-E25</f>
        <v>#REF!</v>
      </c>
      <c r="F27" s="116" t="e">
        <f>F18-F25</f>
        <v>#REF!</v>
      </c>
      <c r="G27" s="116" t="e">
        <f>G18-G25</f>
        <v>#REF!</v>
      </c>
      <c r="H27" s="116"/>
    </row>
    <row r="28" spans="1:10" hidden="1" x14ac:dyDescent="0.25"/>
    <row r="29" spans="1:10" hidden="1" x14ac:dyDescent="0.25"/>
    <row r="30" spans="1:10" hidden="1" x14ac:dyDescent="0.25"/>
    <row r="31" spans="1:10" hidden="1" x14ac:dyDescent="0.25"/>
    <row r="32" spans="1:10" hidden="1" x14ac:dyDescent="0.25">
      <c r="B32" s="72">
        <v>3069867120</v>
      </c>
    </row>
    <row r="33" spans="1:10" ht="16.5" hidden="1" x14ac:dyDescent="0.25">
      <c r="B33" s="72">
        <v>4052433770</v>
      </c>
      <c r="E33" s="109">
        <v>2101576600</v>
      </c>
      <c r="G33" s="119">
        <v>66084857773</v>
      </c>
    </row>
    <row r="34" spans="1:10" ht="16.5" hidden="1" x14ac:dyDescent="0.25">
      <c r="B34" s="120">
        <f>B35-E35</f>
        <v>2125199110</v>
      </c>
      <c r="C34" s="120"/>
      <c r="D34" s="120"/>
      <c r="E34" s="109">
        <v>2895525180</v>
      </c>
      <c r="H34" s="121" t="e">
        <f>#REF!-F39</f>
        <v>#REF!</v>
      </c>
      <c r="I34" s="70" t="e">
        <f>H34/1.1</f>
        <v>#REF!</v>
      </c>
    </row>
    <row r="35" spans="1:10" hidden="1" x14ac:dyDescent="0.25">
      <c r="B35" s="120">
        <v>7122300890</v>
      </c>
      <c r="C35" s="120"/>
      <c r="D35" s="120"/>
      <c r="E35" s="116">
        <f>SUM(E33:E34)</f>
        <v>4997101780</v>
      </c>
      <c r="G35" s="117">
        <f>G18-G33</f>
        <v>-57173284773</v>
      </c>
    </row>
    <row r="36" spans="1:10" hidden="1" x14ac:dyDescent="0.25">
      <c r="B36" s="120">
        <f>B32+B33</f>
        <v>7122300890</v>
      </c>
      <c r="C36" s="120"/>
      <c r="D36" s="120"/>
      <c r="H36" s="116" t="e">
        <f>'[1]1-Tong Muc DT (2)'!#REF!/1.1</f>
        <v>#REF!</v>
      </c>
      <c r="I36" s="116" t="e">
        <f>#REF!-H36</f>
        <v>#REF!</v>
      </c>
    </row>
    <row r="37" spans="1:10" ht="16.5" hidden="1" x14ac:dyDescent="0.25">
      <c r="B37" s="72">
        <v>55275647496.909088</v>
      </c>
      <c r="E37" s="70">
        <v>5527564749.6909094</v>
      </c>
      <c r="F37" s="116">
        <v>60803212246.600006</v>
      </c>
      <c r="G37" s="119">
        <v>66085011000</v>
      </c>
      <c r="I37" s="116"/>
      <c r="J37" s="116"/>
    </row>
    <row r="38" spans="1:10" hidden="1" x14ac:dyDescent="0.25">
      <c r="B38" s="120">
        <f>B37-E18</f>
        <v>47174217496.909088</v>
      </c>
      <c r="C38" s="120"/>
      <c r="D38" s="120"/>
      <c r="I38" s="116"/>
      <c r="J38" s="116"/>
    </row>
    <row r="39" spans="1:10" ht="16.5" hidden="1" x14ac:dyDescent="0.25">
      <c r="A39" s="70"/>
      <c r="B39" s="120" t="e">
        <f>B38+#REF!</f>
        <v>#REF!</v>
      </c>
      <c r="C39" s="120"/>
      <c r="D39" s="120"/>
      <c r="E39" s="116" t="e">
        <f>#REF!+F39</f>
        <v>#REF!</v>
      </c>
      <c r="F39" s="121" t="e">
        <f>'[1]1-Tong Muc DT (2)'!#REF!</f>
        <v>#REF!</v>
      </c>
      <c r="G39" s="119" t="e">
        <f>#REF!-'[1]1-Tong Muc DT (2)'!#REF!</f>
        <v>#REF!</v>
      </c>
      <c r="H39" s="119" t="e">
        <f>G39/1.1</f>
        <v>#REF!</v>
      </c>
    </row>
    <row r="40" spans="1:10" hidden="1" x14ac:dyDescent="0.25">
      <c r="A40" s="70"/>
    </row>
    <row r="41" spans="1:10" hidden="1" x14ac:dyDescent="0.25">
      <c r="A41" s="70"/>
      <c r="F41" s="116">
        <f>28+5</f>
        <v>33</v>
      </c>
      <c r="G41" s="117" t="e">
        <f>E39/1.1</f>
        <v>#REF!</v>
      </c>
    </row>
    <row r="42" spans="1:10" hidden="1" x14ac:dyDescent="0.25">
      <c r="A42" s="70"/>
      <c r="E42" s="70" t="e">
        <f>F39/1.1</f>
        <v>#REF!</v>
      </c>
      <c r="F42" s="116" t="e">
        <f>E42*1.1</f>
        <v>#REF!</v>
      </c>
    </row>
    <row r="43" spans="1:10" hidden="1" x14ac:dyDescent="0.25">
      <c r="A43" s="70"/>
    </row>
    <row r="44" spans="1:10" hidden="1" x14ac:dyDescent="0.25">
      <c r="A44" s="70"/>
      <c r="I44" s="116"/>
    </row>
    <row r="45" spans="1:10" hidden="1" x14ac:dyDescent="0.25">
      <c r="A45" s="70"/>
      <c r="F45" s="116">
        <f>554059/13.64</f>
        <v>40620.161290322576</v>
      </c>
      <c r="G45" s="117">
        <f>F45*0.05</f>
        <v>2031.0080645161288</v>
      </c>
    </row>
    <row r="46" spans="1:10" hidden="1" x14ac:dyDescent="0.25">
      <c r="A46" s="70"/>
    </row>
    <row r="47" spans="1:10" hidden="1" x14ac:dyDescent="0.25">
      <c r="A47" s="70"/>
      <c r="E47" s="116" t="e">
        <f>#REF!</f>
        <v>#REF!</v>
      </c>
    </row>
    <row r="48" spans="1:10" ht="33" customHeight="1" x14ac:dyDescent="0.25">
      <c r="A48" s="70"/>
      <c r="E48" s="116">
        <v>9051818382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workbookViewId="0">
      <selection activeCell="D11" sqref="D11"/>
    </sheetView>
  </sheetViews>
  <sheetFormatPr defaultColWidth="9" defaultRowHeight="15.75" x14ac:dyDescent="0.25"/>
  <cols>
    <col min="1" max="1" width="4.28515625" style="22" bestFit="1" customWidth="1"/>
    <col min="2" max="2" width="24.7109375" style="22" customWidth="1"/>
    <col min="3" max="3" width="6.7109375" style="22" bestFit="1" customWidth="1"/>
    <col min="4" max="4" width="14.85546875" style="22" customWidth="1"/>
    <col min="5" max="5" width="16.7109375" style="22" customWidth="1"/>
    <col min="6" max="6" width="13.85546875" style="22" customWidth="1"/>
    <col min="7" max="7" width="15.140625" style="22" customWidth="1"/>
    <col min="8" max="16384" width="9" style="22"/>
  </cols>
  <sheetData>
    <row r="2" spans="1:7" ht="31.5" x14ac:dyDescent="0.25">
      <c r="A2" s="32" t="s">
        <v>1</v>
      </c>
      <c r="B2" s="32" t="s">
        <v>29</v>
      </c>
      <c r="C2" s="32" t="s">
        <v>30</v>
      </c>
      <c r="D2" s="32" t="s">
        <v>31</v>
      </c>
      <c r="E2" s="32" t="s">
        <v>32</v>
      </c>
      <c r="F2" s="32" t="s">
        <v>33</v>
      </c>
      <c r="G2" s="32" t="s">
        <v>34</v>
      </c>
    </row>
    <row r="3" spans="1:7" ht="58.15" customHeight="1" x14ac:dyDescent="0.25">
      <c r="A3" s="24">
        <v>1</v>
      </c>
      <c r="B3" s="28" t="s">
        <v>35</v>
      </c>
      <c r="C3" s="137">
        <v>1.0999999999999999E-2</v>
      </c>
      <c r="D3" s="29" t="s">
        <v>84</v>
      </c>
      <c r="E3" s="27">
        <f>XDCB!E18*1.1%</f>
        <v>89115730.000000015</v>
      </c>
      <c r="F3" s="27">
        <f>E3*10%</f>
        <v>8911573.0000000019</v>
      </c>
      <c r="G3" s="27">
        <f>E3+F3</f>
        <v>98027303.000000015</v>
      </c>
    </row>
    <row r="4" spans="1:7" ht="44.45" customHeight="1" x14ac:dyDescent="0.25">
      <c r="A4" s="24">
        <v>2</v>
      </c>
      <c r="B4" s="28" t="s">
        <v>36</v>
      </c>
      <c r="C4" s="138">
        <v>0.02</v>
      </c>
      <c r="D4" s="29" t="s">
        <v>85</v>
      </c>
      <c r="E4" s="27">
        <f>XDCB!E18*2%</f>
        <v>162028600</v>
      </c>
      <c r="F4" s="27">
        <f>E4*10%</f>
        <v>16202860</v>
      </c>
      <c r="G4" s="27">
        <f t="shared" ref="G4:G5" si="0">E4+F4</f>
        <v>178231460</v>
      </c>
    </row>
    <row r="5" spans="1:7" ht="30" customHeight="1" x14ac:dyDescent="0.25">
      <c r="A5" s="24">
        <v>3</v>
      </c>
      <c r="B5" s="28" t="s">
        <v>37</v>
      </c>
      <c r="C5" s="29"/>
      <c r="D5" s="29"/>
      <c r="E5" s="27">
        <v>100000000</v>
      </c>
      <c r="F5" s="30">
        <v>0</v>
      </c>
      <c r="G5" s="27">
        <f t="shared" si="0"/>
        <v>100000000</v>
      </c>
    </row>
    <row r="6" spans="1:7" x14ac:dyDescent="0.25">
      <c r="A6" s="139"/>
      <c r="B6" s="32" t="s">
        <v>38</v>
      </c>
      <c r="C6" s="140"/>
      <c r="D6" s="139"/>
      <c r="E6" s="31">
        <f>SUM(E3:E5)</f>
        <v>351144330</v>
      </c>
      <c r="F6" s="31">
        <f t="shared" ref="F6" si="1">SUM(F3:F5)</f>
        <v>25114433</v>
      </c>
      <c r="G6" s="31">
        <f>SUM(G3:G5)</f>
        <v>376258763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opLeftCell="A10" zoomScaleNormal="100" workbookViewId="0">
      <selection activeCell="C29" sqref="C29"/>
    </sheetView>
  </sheetViews>
  <sheetFormatPr defaultRowHeight="17.25" x14ac:dyDescent="0.3"/>
  <cols>
    <col min="1" max="1" width="9.140625" style="124"/>
    <col min="2" max="2" width="20" style="124" bestFit="1" customWidth="1"/>
    <col min="3" max="3" width="47.85546875" style="124" customWidth="1"/>
    <col min="4" max="4" width="32.85546875" style="124" customWidth="1"/>
    <col min="5" max="7" width="22.85546875" style="124" customWidth="1"/>
    <col min="8" max="16384" width="9.140625" style="124"/>
  </cols>
  <sheetData>
    <row r="2" spans="2:7" x14ac:dyDescent="0.3">
      <c r="B2" s="125" t="s">
        <v>1</v>
      </c>
      <c r="C2" s="11" t="s">
        <v>28</v>
      </c>
      <c r="D2" s="11" t="s">
        <v>5</v>
      </c>
      <c r="E2" s="11" t="s">
        <v>6</v>
      </c>
      <c r="F2" s="11" t="s">
        <v>7</v>
      </c>
    </row>
    <row r="3" spans="2:7" x14ac:dyDescent="0.3">
      <c r="B3" s="136">
        <v>1</v>
      </c>
      <c r="C3" s="126" t="s">
        <v>178</v>
      </c>
      <c r="D3" s="127">
        <v>10000000000</v>
      </c>
      <c r="E3" s="127">
        <f>D3*10%</f>
        <v>1000000000</v>
      </c>
      <c r="F3" s="127">
        <f>D3+E3</f>
        <v>11000000000</v>
      </c>
    </row>
    <row r="4" spans="2:7" x14ac:dyDescent="0.3">
      <c r="B4" s="136">
        <v>2</v>
      </c>
      <c r="C4" s="126" t="s">
        <v>177</v>
      </c>
      <c r="D4" s="127">
        <v>600000000</v>
      </c>
      <c r="E4" s="127">
        <f t="shared" ref="E4:E7" si="0">D4*10%</f>
        <v>60000000</v>
      </c>
      <c r="F4" s="127">
        <f t="shared" ref="F4:F7" si="1">D4+E4</f>
        <v>660000000</v>
      </c>
    </row>
    <row r="5" spans="2:7" x14ac:dyDescent="0.3">
      <c r="B5" s="136">
        <v>3</v>
      </c>
      <c r="C5" s="128" t="s">
        <v>179</v>
      </c>
      <c r="D5" s="127">
        <v>1000000000</v>
      </c>
      <c r="E5" s="127">
        <f t="shared" si="0"/>
        <v>100000000</v>
      </c>
      <c r="F5" s="127">
        <f t="shared" si="1"/>
        <v>1100000000</v>
      </c>
    </row>
    <row r="6" spans="2:7" x14ac:dyDescent="0.3">
      <c r="B6" s="136">
        <v>4</v>
      </c>
      <c r="C6" s="128" t="s">
        <v>163</v>
      </c>
      <c r="D6" s="127">
        <v>2000000000</v>
      </c>
      <c r="E6" s="127">
        <f t="shared" si="0"/>
        <v>200000000</v>
      </c>
      <c r="F6" s="127">
        <f t="shared" si="1"/>
        <v>2200000000</v>
      </c>
    </row>
    <row r="7" spans="2:7" x14ac:dyDescent="0.3">
      <c r="B7" s="126"/>
      <c r="C7" s="128" t="s">
        <v>25</v>
      </c>
      <c r="D7" s="127">
        <f>D6+D5+D4+D3</f>
        <v>13600000000</v>
      </c>
      <c r="E7" s="127">
        <f t="shared" si="0"/>
        <v>1360000000</v>
      </c>
      <c r="F7" s="127">
        <f t="shared" si="1"/>
        <v>14960000000</v>
      </c>
    </row>
    <row r="10" spans="2:7" x14ac:dyDescent="0.3">
      <c r="B10" s="160" t="s">
        <v>1</v>
      </c>
      <c r="C10" s="160" t="s">
        <v>158</v>
      </c>
      <c r="D10" s="160" t="s">
        <v>159</v>
      </c>
      <c r="E10" s="129" t="s">
        <v>26</v>
      </c>
      <c r="F10" s="161" t="s">
        <v>6</v>
      </c>
      <c r="G10" s="161" t="s">
        <v>7</v>
      </c>
    </row>
    <row r="11" spans="2:7" x14ac:dyDescent="0.3">
      <c r="B11" s="160"/>
      <c r="C11" s="160"/>
      <c r="D11" s="160"/>
      <c r="E11" s="129" t="s">
        <v>160</v>
      </c>
      <c r="F11" s="161"/>
      <c r="G11" s="161"/>
    </row>
    <row r="12" spans="2:7" x14ac:dyDescent="0.3">
      <c r="B12" s="130" t="s">
        <v>70</v>
      </c>
      <c r="C12" s="141" t="s">
        <v>161</v>
      </c>
      <c r="D12" s="130" t="s">
        <v>162</v>
      </c>
      <c r="E12" s="131">
        <f>(TB!F32+XDCB!E18)*3.557%</f>
        <v>4685213884.0999994</v>
      </c>
      <c r="F12" s="131">
        <f>E12*10%</f>
        <v>468521388.40999997</v>
      </c>
      <c r="G12" s="131">
        <f>E12+F12</f>
        <v>5153735272.5099993</v>
      </c>
    </row>
    <row r="13" spans="2:7" x14ac:dyDescent="0.3">
      <c r="B13" s="130" t="s">
        <v>71</v>
      </c>
      <c r="C13" s="142" t="s">
        <v>62</v>
      </c>
      <c r="D13" s="132"/>
      <c r="E13" s="131">
        <f>SUM(E14:E21)</f>
        <v>23889788218.400002</v>
      </c>
      <c r="F13" s="134">
        <f>E13*10%</f>
        <v>2388978821.8400002</v>
      </c>
      <c r="G13" s="134">
        <f t="shared" ref="G13:G14" si="2">E13+F13</f>
        <v>26278767040.240002</v>
      </c>
    </row>
    <row r="14" spans="2:7" ht="33" x14ac:dyDescent="0.3">
      <c r="B14" s="130">
        <v>1</v>
      </c>
      <c r="C14" s="141" t="s">
        <v>164</v>
      </c>
      <c r="D14" s="129" t="s">
        <v>80</v>
      </c>
      <c r="E14" s="134">
        <v>2000000000</v>
      </c>
      <c r="F14" s="134">
        <f>E14*10%</f>
        <v>200000000</v>
      </c>
      <c r="G14" s="134">
        <f t="shared" si="2"/>
        <v>2200000000</v>
      </c>
    </row>
    <row r="15" spans="2:7" x14ac:dyDescent="0.3">
      <c r="B15" s="130">
        <v>2</v>
      </c>
      <c r="C15" s="142" t="s">
        <v>165</v>
      </c>
      <c r="D15" s="133"/>
      <c r="E15" s="129"/>
      <c r="F15" s="129"/>
      <c r="G15" s="129"/>
    </row>
    <row r="16" spans="2:7" x14ac:dyDescent="0.3">
      <c r="B16" s="130" t="s">
        <v>81</v>
      </c>
      <c r="C16" s="141" t="s">
        <v>166</v>
      </c>
      <c r="D16" s="133"/>
      <c r="E16" s="134">
        <v>50000000</v>
      </c>
      <c r="F16" s="129"/>
      <c r="G16" s="134">
        <f>E16+F16</f>
        <v>50000000</v>
      </c>
    </row>
    <row r="17" spans="2:7" x14ac:dyDescent="0.3">
      <c r="B17" s="130" t="s">
        <v>81</v>
      </c>
      <c r="C17" s="141" t="s">
        <v>167</v>
      </c>
      <c r="D17" s="130" t="s">
        <v>168</v>
      </c>
      <c r="E17" s="134">
        <f>XDCB!E18*0.188%</f>
        <v>15230688.4</v>
      </c>
      <c r="F17" s="134">
        <f>E17*10%</f>
        <v>1523068.84</v>
      </c>
      <c r="G17" s="134">
        <f t="shared" ref="G17:G21" si="3">E17+F17</f>
        <v>16753757.24</v>
      </c>
    </row>
    <row r="18" spans="2:7" x14ac:dyDescent="0.3">
      <c r="B18" s="130">
        <v>3</v>
      </c>
      <c r="C18" s="141" t="s">
        <v>169</v>
      </c>
      <c r="D18" s="135" t="s">
        <v>170</v>
      </c>
      <c r="E18" s="134">
        <f>(TB!F32+XDCB!E18)*0.495%</f>
        <v>652004743.49999988</v>
      </c>
      <c r="F18" s="134">
        <f>E18*10%</f>
        <v>65200474.349999994</v>
      </c>
      <c r="G18" s="134">
        <f t="shared" si="3"/>
        <v>717205217.8499999</v>
      </c>
    </row>
    <row r="19" spans="2:7" x14ac:dyDescent="0.3">
      <c r="B19" s="130">
        <v>4</v>
      </c>
      <c r="C19" s="141" t="s">
        <v>171</v>
      </c>
      <c r="D19" s="135" t="s">
        <v>172</v>
      </c>
      <c r="E19" s="134">
        <f>(TB!F32+XDCB!E18)*0.785%</f>
        <v>1033987320.5000001</v>
      </c>
      <c r="F19" s="134">
        <f>E19*10%</f>
        <v>103398732.05000001</v>
      </c>
      <c r="G19" s="134">
        <f t="shared" si="3"/>
        <v>1137386052.5500002</v>
      </c>
    </row>
    <row r="20" spans="2:7" ht="33" x14ac:dyDescent="0.3">
      <c r="B20" s="130">
        <v>5</v>
      </c>
      <c r="C20" s="141" t="s">
        <v>173</v>
      </c>
      <c r="D20" s="129" t="s">
        <v>174</v>
      </c>
      <c r="E20" s="134">
        <f>thuế!L32</f>
        <v>18138565466</v>
      </c>
      <c r="F20" s="129"/>
      <c r="G20" s="134">
        <f t="shared" si="3"/>
        <v>18138565466</v>
      </c>
    </row>
    <row r="21" spans="2:7" x14ac:dyDescent="0.3">
      <c r="B21" s="130">
        <v>6</v>
      </c>
      <c r="C21" s="141" t="s">
        <v>175</v>
      </c>
      <c r="D21" s="133"/>
      <c r="E21" s="134">
        <v>2000000000</v>
      </c>
      <c r="F21" s="129"/>
      <c r="G21" s="134">
        <f t="shared" si="3"/>
        <v>2000000000</v>
      </c>
    </row>
    <row r="22" spans="2:7" x14ac:dyDescent="0.3">
      <c r="B22" s="132"/>
      <c r="C22" s="141" t="s">
        <v>176</v>
      </c>
      <c r="D22" s="132"/>
      <c r="E22" s="134">
        <f>E13+E12</f>
        <v>28575002102.5</v>
      </c>
      <c r="F22" s="134">
        <f t="shared" ref="F22:G22" si="4">F13+F12</f>
        <v>2857500210.25</v>
      </c>
      <c r="G22" s="134">
        <f t="shared" si="4"/>
        <v>31432502312.75</v>
      </c>
    </row>
  </sheetData>
  <mergeCells count="5">
    <mergeCell ref="B10:B11"/>
    <mergeCell ref="C10:C11"/>
    <mergeCell ref="D10:D11"/>
    <mergeCell ref="F10:F11"/>
    <mergeCell ref="G10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>
      <selection activeCell="C12" sqref="C12"/>
    </sheetView>
  </sheetViews>
  <sheetFormatPr defaultRowHeight="15" x14ac:dyDescent="0.25"/>
  <cols>
    <col min="2" max="2" width="46" bestFit="1" customWidth="1"/>
    <col min="3" max="3" width="19.85546875" customWidth="1"/>
  </cols>
  <sheetData>
    <row r="2" spans="1:3" ht="18.75" x14ac:dyDescent="0.25">
      <c r="A2" s="14" t="s">
        <v>1</v>
      </c>
      <c r="B2" s="14" t="s">
        <v>39</v>
      </c>
      <c r="C2" s="15" t="s">
        <v>26</v>
      </c>
    </row>
    <row r="3" spans="1:3" ht="20.25" x14ac:dyDescent="0.3">
      <c r="A3" s="23">
        <v>1</v>
      </c>
      <c r="B3" s="16" t="s">
        <v>40</v>
      </c>
      <c r="C3" s="17">
        <f>XDCB!E18</f>
        <v>8101430000</v>
      </c>
    </row>
    <row r="4" spans="1:3" ht="20.25" x14ac:dyDescent="0.3">
      <c r="A4" s="23">
        <v>2</v>
      </c>
      <c r="B4" s="16" t="s">
        <v>41</v>
      </c>
      <c r="C4" s="17">
        <f>TB!F32</f>
        <v>123616700000</v>
      </c>
    </row>
    <row r="5" spans="1:3" ht="20.25" x14ac:dyDescent="0.3">
      <c r="A5" s="23">
        <v>3</v>
      </c>
      <c r="B5" s="16" t="s">
        <v>42</v>
      </c>
      <c r="C5" s="17">
        <f>QLDA!E12</f>
        <v>4685213884.0999994</v>
      </c>
    </row>
    <row r="6" spans="1:3" ht="20.25" x14ac:dyDescent="0.3">
      <c r="A6" s="23">
        <v>4</v>
      </c>
      <c r="B6" s="16" t="s">
        <v>43</v>
      </c>
      <c r="C6" s="17">
        <f>QLDA!D7</f>
        <v>13600000000</v>
      </c>
    </row>
    <row r="7" spans="1:3" ht="20.25" x14ac:dyDescent="0.3">
      <c r="A7" s="23">
        <v>5</v>
      </c>
      <c r="B7" s="16" t="s">
        <v>44</v>
      </c>
      <c r="C7" s="17">
        <f>QLDA!E13</f>
        <v>23889788218.400002</v>
      </c>
    </row>
    <row r="8" spans="1:3" ht="20.25" x14ac:dyDescent="0.3">
      <c r="A8" s="23">
        <v>6</v>
      </c>
      <c r="B8" s="18" t="s">
        <v>45</v>
      </c>
      <c r="C8" s="19">
        <v>10</v>
      </c>
    </row>
    <row r="9" spans="1:3" ht="20.25" x14ac:dyDescent="0.3">
      <c r="A9" s="23">
        <v>7</v>
      </c>
      <c r="B9" s="18" t="s">
        <v>46</v>
      </c>
      <c r="C9" s="20">
        <f>SUM(C3:C7)*C8%</f>
        <v>17389313210.25</v>
      </c>
    </row>
    <row r="10" spans="1:3" ht="20.25" x14ac:dyDescent="0.3">
      <c r="A10" s="23">
        <v>8</v>
      </c>
      <c r="B10" s="18" t="s">
        <v>47</v>
      </c>
      <c r="C10" s="19">
        <v>0</v>
      </c>
    </row>
    <row r="11" spans="1:3" ht="20.25" x14ac:dyDescent="0.3">
      <c r="A11" s="23">
        <v>9</v>
      </c>
      <c r="B11" s="18" t="s">
        <v>48</v>
      </c>
      <c r="C11" s="21">
        <f>C10+C9</f>
        <v>17389313210.25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tabSelected="1" zoomScale="115" zoomScaleNormal="115" workbookViewId="0">
      <selection activeCell="G19" sqref="G19"/>
    </sheetView>
  </sheetViews>
  <sheetFormatPr defaultRowHeight="15" x14ac:dyDescent="0.25"/>
  <cols>
    <col min="2" max="2" width="4.28515625" bestFit="1" customWidth="1"/>
    <col min="3" max="3" width="25.7109375" customWidth="1"/>
    <col min="4" max="4" width="21.42578125" customWidth="1"/>
    <col min="5" max="5" width="25.42578125" customWidth="1"/>
    <col min="6" max="6" width="16.28515625" bestFit="1" customWidth="1"/>
    <col min="7" max="9" width="14.7109375" customWidth="1"/>
  </cols>
  <sheetData>
    <row r="2" spans="2:7" ht="25.5" x14ac:dyDescent="0.25">
      <c r="B2" s="2" t="s">
        <v>1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</row>
    <row r="3" spans="2:7" x14ac:dyDescent="0.25">
      <c r="B3" s="4">
        <v>1</v>
      </c>
      <c r="C3" s="5" t="s">
        <v>54</v>
      </c>
      <c r="D3" s="1">
        <f>'dự phòng'!C3</f>
        <v>8101430000</v>
      </c>
      <c r="E3" s="1">
        <f>D3*10%</f>
        <v>810143000</v>
      </c>
      <c r="F3" s="1">
        <f>D3+E3</f>
        <v>8911573000</v>
      </c>
      <c r="G3" s="6" t="s">
        <v>55</v>
      </c>
    </row>
    <row r="4" spans="2:7" x14ac:dyDescent="0.25">
      <c r="B4" s="4">
        <v>2</v>
      </c>
      <c r="C4" s="5" t="s">
        <v>56</v>
      </c>
      <c r="D4" s="1">
        <f>'dự phòng'!C4</f>
        <v>123616700000</v>
      </c>
      <c r="E4" s="1">
        <f t="shared" ref="E4:E8" si="0">D4*10%</f>
        <v>12361670000</v>
      </c>
      <c r="F4" s="1">
        <f t="shared" ref="F4:F8" si="1">D4+E4</f>
        <v>135978370000</v>
      </c>
      <c r="G4" s="6" t="s">
        <v>57</v>
      </c>
    </row>
    <row r="5" spans="2:7" x14ac:dyDescent="0.25">
      <c r="B5" s="4">
        <v>3</v>
      </c>
      <c r="C5" s="5" t="s">
        <v>58</v>
      </c>
      <c r="D5" s="1">
        <f>'dự phòng'!C5</f>
        <v>4685213884.0999994</v>
      </c>
      <c r="E5" s="1">
        <f t="shared" si="0"/>
        <v>468521388.40999997</v>
      </c>
      <c r="F5" s="1">
        <f t="shared" si="1"/>
        <v>5153735272.5099993</v>
      </c>
      <c r="G5" s="6" t="s">
        <v>59</v>
      </c>
    </row>
    <row r="6" spans="2:7" x14ac:dyDescent="0.25">
      <c r="B6" s="4">
        <v>4</v>
      </c>
      <c r="C6" s="5" t="s">
        <v>60</v>
      </c>
      <c r="D6" s="1">
        <f>'dự phòng'!C6</f>
        <v>13600000000</v>
      </c>
      <c r="E6" s="1">
        <f t="shared" si="0"/>
        <v>1360000000</v>
      </c>
      <c r="F6" s="1">
        <f t="shared" si="1"/>
        <v>14960000000</v>
      </c>
      <c r="G6" s="6" t="s">
        <v>61</v>
      </c>
    </row>
    <row r="7" spans="2:7" x14ac:dyDescent="0.25">
      <c r="B7" s="4">
        <v>5</v>
      </c>
      <c r="C7" s="7" t="s">
        <v>62</v>
      </c>
      <c r="D7" s="1">
        <f>'dự phòng'!C7</f>
        <v>23889788218.400002</v>
      </c>
      <c r="E7" s="1">
        <f t="shared" si="0"/>
        <v>2388978821.8400002</v>
      </c>
      <c r="F7" s="1">
        <f t="shared" si="1"/>
        <v>26278767040.240002</v>
      </c>
      <c r="G7" s="6" t="s">
        <v>63</v>
      </c>
    </row>
    <row r="8" spans="2:7" x14ac:dyDescent="0.25">
      <c r="B8" s="4">
        <v>6</v>
      </c>
      <c r="C8" s="7" t="s">
        <v>64</v>
      </c>
      <c r="D8" s="1">
        <f>'dự phòng'!C11</f>
        <v>17389313210.25</v>
      </c>
      <c r="E8" s="1">
        <f t="shared" si="0"/>
        <v>1738931321.0250001</v>
      </c>
      <c r="F8" s="1">
        <f t="shared" si="1"/>
        <v>19128244531.275002</v>
      </c>
      <c r="G8" s="6" t="s">
        <v>65</v>
      </c>
    </row>
    <row r="9" spans="2:7" x14ac:dyDescent="0.25">
      <c r="B9" s="4">
        <v>7</v>
      </c>
      <c r="C9" s="7" t="s">
        <v>66</v>
      </c>
      <c r="D9" s="1">
        <f>F14</f>
        <v>46720000000</v>
      </c>
      <c r="E9" s="8">
        <v>0</v>
      </c>
      <c r="F9" s="1">
        <f>D9</f>
        <v>46720000000</v>
      </c>
      <c r="G9" s="6" t="s">
        <v>67</v>
      </c>
    </row>
    <row r="10" spans="2:7" x14ac:dyDescent="0.25">
      <c r="B10" s="162" t="s">
        <v>38</v>
      </c>
      <c r="C10" s="163"/>
      <c r="D10" s="9">
        <f>SUM(D3:D9)</f>
        <v>238002445312.75</v>
      </c>
      <c r="E10" s="9">
        <f>SUM(E3:E9)</f>
        <v>19128244531.275002</v>
      </c>
      <c r="F10" s="9">
        <f>ROUND((D10+E10),-3)</f>
        <v>257130690000</v>
      </c>
      <c r="G10" s="6" t="s">
        <v>68</v>
      </c>
    </row>
    <row r="14" spans="2:7" x14ac:dyDescent="0.25">
      <c r="C14" s="143" t="s">
        <v>180</v>
      </c>
      <c r="D14">
        <v>23.36</v>
      </c>
      <c r="E14" s="1">
        <v>2000000000</v>
      </c>
      <c r="F14" s="1">
        <f>D14*E14</f>
        <v>46720000000</v>
      </c>
    </row>
  </sheetData>
  <mergeCells count="1">
    <mergeCell ref="B10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M33"/>
  <sheetViews>
    <sheetView topLeftCell="D13" zoomScale="85" zoomScaleNormal="85" workbookViewId="0">
      <selection activeCell="G34" sqref="G34"/>
    </sheetView>
  </sheetViews>
  <sheetFormatPr defaultColWidth="9.140625" defaultRowHeight="15.75" x14ac:dyDescent="0.25"/>
  <cols>
    <col min="1" max="1" width="6.7109375" style="22" customWidth="1"/>
    <col min="2" max="2" width="29.5703125" style="22" bestFit="1" customWidth="1"/>
    <col min="3" max="3" width="16.28515625" style="22" customWidth="1"/>
    <col min="4" max="4" width="23.28515625" style="22" customWidth="1"/>
    <col min="5" max="5" width="16.85546875" style="22" customWidth="1"/>
    <col min="6" max="6" width="17.28515625" style="22" customWidth="1"/>
    <col min="7" max="7" width="28" style="22" customWidth="1"/>
    <col min="8" max="8" width="19.140625" style="22" customWidth="1"/>
    <col min="9" max="9" width="20.140625" style="22" customWidth="1"/>
    <col min="10" max="10" width="21.7109375" style="22" customWidth="1"/>
    <col min="11" max="11" width="24" style="22" customWidth="1"/>
    <col min="12" max="12" width="26.5703125" style="22" customWidth="1"/>
    <col min="13" max="16" width="18.7109375" style="22" customWidth="1"/>
    <col min="17" max="17" width="15.28515625" style="22" bestFit="1" customWidth="1"/>
    <col min="18" max="16384" width="9.140625" style="22"/>
  </cols>
  <sheetData>
    <row r="2" spans="6:10" x14ac:dyDescent="0.25">
      <c r="F2" s="164" t="s">
        <v>1</v>
      </c>
      <c r="G2" s="165" t="s">
        <v>39</v>
      </c>
      <c r="H2" s="164" t="s">
        <v>26</v>
      </c>
      <c r="I2" s="164"/>
    </row>
    <row r="3" spans="6:10" x14ac:dyDescent="0.25">
      <c r="F3" s="164"/>
      <c r="G3" s="165"/>
      <c r="H3" s="32" t="s">
        <v>103</v>
      </c>
      <c r="I3" s="32" t="s">
        <v>182</v>
      </c>
    </row>
    <row r="4" spans="6:10" ht="18.75" x14ac:dyDescent="0.25">
      <c r="F4" s="25">
        <v>1</v>
      </c>
      <c r="G4" s="26" t="s">
        <v>87</v>
      </c>
      <c r="H4" s="34">
        <f>CS!F19</f>
        <v>12299376</v>
      </c>
      <c r="I4" s="34">
        <f>CS!E19</f>
        <v>3567853</v>
      </c>
    </row>
    <row r="5" spans="6:10" ht="18.75" x14ac:dyDescent="0.25">
      <c r="F5" s="25">
        <v>2</v>
      </c>
      <c r="G5" s="26" t="s">
        <v>88</v>
      </c>
      <c r="H5" s="36">
        <f>H4*1.475</f>
        <v>18141579.600000001</v>
      </c>
      <c r="I5" s="36">
        <f>I4*1.26</f>
        <v>4495494.78</v>
      </c>
    </row>
    <row r="6" spans="6:10" ht="18.75" x14ac:dyDescent="0.25">
      <c r="F6" s="25">
        <v>3</v>
      </c>
      <c r="G6" s="26" t="s">
        <v>89</v>
      </c>
      <c r="H6" s="34">
        <v>119000</v>
      </c>
      <c r="I6" s="34">
        <v>75000</v>
      </c>
    </row>
    <row r="7" spans="6:10" x14ac:dyDescent="0.25">
      <c r="F7" s="25">
        <v>4</v>
      </c>
      <c r="G7" s="26" t="s">
        <v>72</v>
      </c>
      <c r="H7" s="35">
        <v>0.15</v>
      </c>
      <c r="I7" s="35">
        <f>H7</f>
        <v>0.15</v>
      </c>
    </row>
    <row r="8" spans="6:10" x14ac:dyDescent="0.25">
      <c r="F8" s="25">
        <v>5</v>
      </c>
      <c r="G8" s="24" t="s">
        <v>90</v>
      </c>
      <c r="H8" s="34">
        <f>H7*H6*H5</f>
        <v>323827195860</v>
      </c>
      <c r="I8" s="34">
        <f>I7*I6*I5</f>
        <v>50574316275</v>
      </c>
      <c r="J8" s="33"/>
    </row>
    <row r="9" spans="6:10" x14ac:dyDescent="0.25">
      <c r="F9" s="25">
        <v>6</v>
      </c>
      <c r="G9" s="24" t="s">
        <v>90</v>
      </c>
      <c r="H9" s="166">
        <f>H8+I8</f>
        <v>374401512135</v>
      </c>
      <c r="I9" s="167"/>
    </row>
    <row r="10" spans="6:10" x14ac:dyDescent="0.25">
      <c r="F10" s="25">
        <v>7</v>
      </c>
      <c r="G10" s="37" t="s">
        <v>91</v>
      </c>
      <c r="H10" s="168">
        <v>4.5</v>
      </c>
      <c r="I10" s="168"/>
    </row>
    <row r="11" spans="6:10" x14ac:dyDescent="0.25">
      <c r="F11" s="25">
        <v>8</v>
      </c>
      <c r="G11" s="37" t="s">
        <v>92</v>
      </c>
      <c r="H11" s="166">
        <f>H9/H10</f>
        <v>83200336030</v>
      </c>
      <c r="I11" s="167"/>
      <c r="J11" s="36"/>
    </row>
    <row r="12" spans="6:10" x14ac:dyDescent="0.25">
      <c r="F12" s="25">
        <v>9</v>
      </c>
      <c r="G12" s="37" t="s">
        <v>78</v>
      </c>
      <c r="H12" s="166">
        <f>H9-H11*4</f>
        <v>41600168015</v>
      </c>
      <c r="I12" s="167"/>
    </row>
    <row r="13" spans="6:10" x14ac:dyDescent="0.25">
      <c r="J13" s="33"/>
    </row>
    <row r="14" spans="6:10" x14ac:dyDescent="0.25">
      <c r="J14" s="33"/>
    </row>
    <row r="15" spans="6:10" x14ac:dyDescent="0.25">
      <c r="F15" s="164" t="s">
        <v>1</v>
      </c>
      <c r="G15" s="165" t="s">
        <v>39</v>
      </c>
      <c r="H15" s="164" t="s">
        <v>26</v>
      </c>
      <c r="I15" s="164"/>
      <c r="J15" s="33"/>
    </row>
    <row r="16" spans="6:10" x14ac:dyDescent="0.25">
      <c r="F16" s="164"/>
      <c r="G16" s="165"/>
      <c r="H16" s="32" t="s">
        <v>103</v>
      </c>
      <c r="I16" s="32" t="s">
        <v>182</v>
      </c>
    </row>
    <row r="17" spans="6:13" ht="18.75" x14ac:dyDescent="0.25">
      <c r="F17" s="25">
        <v>1</v>
      </c>
      <c r="G17" s="26" t="s">
        <v>87</v>
      </c>
      <c r="H17" s="34">
        <f>H4</f>
        <v>12299376</v>
      </c>
      <c r="I17" s="34">
        <f>I4</f>
        <v>3567853</v>
      </c>
    </row>
    <row r="18" spans="6:13" ht="18.75" x14ac:dyDescent="0.25">
      <c r="F18" s="25">
        <v>2</v>
      </c>
      <c r="G18" s="26" t="s">
        <v>88</v>
      </c>
      <c r="H18" s="36">
        <f>H17*1.475</f>
        <v>18141579.600000001</v>
      </c>
      <c r="I18" s="36">
        <f>I17*1.26</f>
        <v>4495494.78</v>
      </c>
    </row>
    <row r="19" spans="6:13" ht="18.75" x14ac:dyDescent="0.25">
      <c r="F19" s="25">
        <v>3</v>
      </c>
      <c r="G19" s="26" t="s">
        <v>89</v>
      </c>
      <c r="H19" s="34">
        <v>6000</v>
      </c>
      <c r="I19" s="34">
        <v>2000</v>
      </c>
    </row>
    <row r="20" spans="6:13" x14ac:dyDescent="0.25">
      <c r="F20" s="25">
        <v>4</v>
      </c>
      <c r="G20" s="26" t="s">
        <v>93</v>
      </c>
      <c r="H20" s="36">
        <v>1.1000000000000001</v>
      </c>
      <c r="I20" s="36">
        <v>1.1000000000000001</v>
      </c>
      <c r="J20" s="34"/>
    </row>
    <row r="21" spans="6:13" x14ac:dyDescent="0.25">
      <c r="F21" s="25">
        <v>5</v>
      </c>
      <c r="G21" s="24" t="s">
        <v>90</v>
      </c>
      <c r="H21" s="34">
        <f>H20*H19*H18</f>
        <v>119734425360.00003</v>
      </c>
      <c r="I21" s="34">
        <f>I20*I19*I18</f>
        <v>9890088516</v>
      </c>
    </row>
    <row r="22" spans="6:13" x14ac:dyDescent="0.25">
      <c r="F22" s="25">
        <v>6</v>
      </c>
      <c r="G22" s="24" t="s">
        <v>90</v>
      </c>
      <c r="H22" s="166">
        <f>H21+I21</f>
        <v>129624513876.00003</v>
      </c>
      <c r="I22" s="167"/>
    </row>
    <row r="23" spans="6:13" x14ac:dyDescent="0.25">
      <c r="F23" s="25">
        <v>7</v>
      </c>
      <c r="G23" s="37" t="s">
        <v>91</v>
      </c>
      <c r="H23" s="168">
        <v>4.5</v>
      </c>
      <c r="I23" s="168"/>
    </row>
    <row r="24" spans="6:13" x14ac:dyDescent="0.25">
      <c r="F24" s="25">
        <v>8</v>
      </c>
      <c r="G24" s="37" t="s">
        <v>92</v>
      </c>
      <c r="H24" s="166">
        <f>H22/H23</f>
        <v>28805447528.000008</v>
      </c>
      <c r="I24" s="167"/>
      <c r="J24" s="34"/>
      <c r="K24" s="144"/>
    </row>
    <row r="25" spans="6:13" x14ac:dyDescent="0.25">
      <c r="F25" s="25">
        <v>9</v>
      </c>
      <c r="G25" s="37" t="s">
        <v>78</v>
      </c>
      <c r="H25" s="166">
        <f>H22-H24*4</f>
        <v>14402723764</v>
      </c>
      <c r="I25" s="167"/>
    </row>
    <row r="28" spans="6:13" ht="18.75" x14ac:dyDescent="0.3">
      <c r="F28" s="38">
        <v>1</v>
      </c>
      <c r="G28" s="39" t="s">
        <v>94</v>
      </c>
      <c r="H28" s="40"/>
      <c r="I28" s="41"/>
      <c r="J28" s="41"/>
      <c r="K28" s="41"/>
      <c r="L28" s="42">
        <f>L29+L30</f>
        <v>81623544597</v>
      </c>
    </row>
    <row r="29" spans="6:13" ht="22.5" x14ac:dyDescent="0.3">
      <c r="F29" s="43"/>
      <c r="G29" s="44" t="s">
        <v>103</v>
      </c>
      <c r="H29" s="45" t="s">
        <v>95</v>
      </c>
      <c r="I29" s="46">
        <v>119000</v>
      </c>
      <c r="J29" s="46">
        <f>CS!F19</f>
        <v>12299376</v>
      </c>
      <c r="K29" s="145">
        <v>0.03</v>
      </c>
      <c r="L29" s="46">
        <f>I29*J29*K29*1.475</f>
        <v>64765439172.000008</v>
      </c>
      <c r="M29" s="47"/>
    </row>
    <row r="30" spans="6:13" ht="22.5" x14ac:dyDescent="0.3">
      <c r="F30" s="43"/>
      <c r="G30" s="44" t="s">
        <v>181</v>
      </c>
      <c r="H30" s="45" t="s">
        <v>95</v>
      </c>
      <c r="I30" s="46">
        <v>75000</v>
      </c>
      <c r="J30" s="46">
        <f>CS!E19</f>
        <v>3567853</v>
      </c>
      <c r="K30" s="145">
        <v>0.05</v>
      </c>
      <c r="L30" s="46">
        <f>I30*J30*K30*1.26</f>
        <v>16858105425</v>
      </c>
      <c r="M30" s="47"/>
    </row>
    <row r="31" spans="6:13" x14ac:dyDescent="0.25">
      <c r="L31" s="48"/>
    </row>
    <row r="32" spans="6:13" x14ac:dyDescent="0.25">
      <c r="L32" s="48">
        <f>L28/4.5</f>
        <v>18138565466</v>
      </c>
    </row>
    <row r="33" spans="12:12" x14ac:dyDescent="0.25">
      <c r="L33" s="48"/>
    </row>
  </sheetData>
  <mergeCells count="14">
    <mergeCell ref="H22:I22"/>
    <mergeCell ref="H23:I23"/>
    <mergeCell ref="H24:I24"/>
    <mergeCell ref="H25:I25"/>
    <mergeCell ref="H11:I11"/>
    <mergeCell ref="H12:I12"/>
    <mergeCell ref="F15:F16"/>
    <mergeCell ref="G15:G16"/>
    <mergeCell ref="H15:I15"/>
    <mergeCell ref="F2:F3"/>
    <mergeCell ref="G2:G3"/>
    <mergeCell ref="H2:I2"/>
    <mergeCell ref="H9:I9"/>
    <mergeCell ref="H10:I10"/>
  </mergeCells>
  <phoneticPr fontId="18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</vt:lpstr>
      <vt:lpstr>TB</vt:lpstr>
      <vt:lpstr>XDCB</vt:lpstr>
      <vt:lpstr>KHAC</vt:lpstr>
      <vt:lpstr>QLDA</vt:lpstr>
      <vt:lpstr>dự phòng</vt:lpstr>
      <vt:lpstr>tổng mức</vt:lpstr>
      <vt:lpstr>thuế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2024-04-08T15:01:41Z</dcterms:created>
  <dcterms:modified xsi:type="dcterms:W3CDTF">2026-03-06T06:16:28Z</dcterms:modified>
</cp:coreProperties>
</file>